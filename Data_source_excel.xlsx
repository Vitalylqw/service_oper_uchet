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Май 2025 "/>
    <sheet r:id="rId2" sheetId="2" name="Июнь 2025"/>
  </sheets>
  <definedNames>
    <definedName name="_xlnm._FilterDatabase" localSheetId="1">'Июнь 2025'!$A$3:$M$61</definedName>
    <definedName name="_xlnm._FilterDatabase" localSheetId="0">'Май 2025 '!$A$3:$M$43</definedName>
    <definedName name="Z_1B6DBB48_6E98_4610_9276_9C5E55CB9027_.wvu.FilterData" localSheetId="1">'Июнь 2025'!$A$3:$J$3</definedName>
    <definedName name="Z_1B6DBB48_6E98_4610_9276_9C5E55CB9027_.wvu.FilterData" localSheetId="0">'Май 2025 '!$A$3:$J$3</definedName>
    <definedName name="Z_AC7A1C9C_3CB8_45EB_AF7E_931181EE17F0_.wvu.FilterData" localSheetId="1">'Июнь 2025'!$A$3:$J$3</definedName>
    <definedName name="Z_AC7A1C9C_3CB8_45EB_AF7E_931181EE17F0_.wvu.FilterData" localSheetId="0">'Май 2025 '!$A$3:$J$3</definedName>
  </definedNames>
  <calcPr fullCalcOnLoad="1"/>
</workbook>
</file>

<file path=xl/sharedStrings.xml><?xml version="1.0" encoding="utf-8"?>
<sst xmlns="http://schemas.openxmlformats.org/spreadsheetml/2006/main" count="264" uniqueCount="161">
  <si>
    <t>Отчет о продажах за Июнь 2025года</t>
  </si>
  <si>
    <t>Клиент</t>
  </si>
  <si>
    <t>Номенклатурах</t>
  </si>
  <si>
    <t>Кол/Отгр?</t>
  </si>
  <si>
    <t>Цена вх/накл</t>
  </si>
  <si>
    <t>цена исх/Оплач?</t>
  </si>
  <si>
    <t>Выручка</t>
  </si>
  <si>
    <t>Маржа</t>
  </si>
  <si>
    <t>От кого Зак/Прод</t>
  </si>
  <si>
    <t>Ст. Закупки</t>
  </si>
  <si>
    <t>Поставщик/Откат</t>
  </si>
  <si>
    <t>Метрополь Групп</t>
  </si>
  <si>
    <t xml:space="preserve"> 356 от 30.05.2025</t>
  </si>
  <si>
    <t>Нет</t>
  </si>
  <si>
    <t>СтройСервис ООО</t>
  </si>
  <si>
    <t>Штукатурка декоративная Церезит СТ 137 Камешковая 2,5 мм под покраску 25 кг</t>
  </si>
  <si>
    <t>сатурн</t>
  </si>
  <si>
    <t>Пакет для нанесения затирки Hesler 3 л (671771)</t>
  </si>
  <si>
    <t>петрович</t>
  </si>
  <si>
    <t>Организация доставки</t>
  </si>
  <si>
    <t>наш</t>
  </si>
  <si>
    <t>СВ-С(ПЛОТНИКОВ)</t>
  </si>
  <si>
    <t xml:space="preserve"> 5107 от 23.05.2025</t>
  </si>
  <si>
    <t>КРЕПЕЖ-ИНСТРУМЕНТ ООО</t>
  </si>
  <si>
    <t>Радиостанция VECTOR VT-44 Military Profi #3 портативная LPD/PMR (3Вт,комплект: р/с,аккумулятор,з/у)</t>
  </si>
  <si>
    <t>к-радио</t>
  </si>
  <si>
    <t>САНТЕХ-СТАНДАРТ</t>
  </si>
  <si>
    <t xml:space="preserve"> 5203 от 26.05.2025</t>
  </si>
  <si>
    <t>Ведро оцинкованное 12л</t>
  </si>
  <si>
    <t>бот</t>
  </si>
  <si>
    <t>Грунт-эмаль Pufas Decoself 3 в 1 быстросохнущая матовая зеленая (5 кг)</t>
  </si>
  <si>
    <t>АЛГОРИТМ</t>
  </si>
  <si>
    <t xml:space="preserve"> 5348 от 28.05.2025</t>
  </si>
  <si>
    <t xml:space="preserve">Респиратор KN95 FFP2 противоаэрозольный (кратно 10 шт.) </t>
  </si>
  <si>
    <t>остатки сириус</t>
  </si>
  <si>
    <t>Ведро, 15 л, оцинкованное Сибртех</t>
  </si>
  <si>
    <t>матрикс</t>
  </si>
  <si>
    <t>Петля ПН 1-60 универ.</t>
  </si>
  <si>
    <t>Проушина прямая 70х30мм 2мм</t>
  </si>
  <si>
    <t>Кисть флейцевая 4" КФ100</t>
  </si>
  <si>
    <t>Диск пильный твёрдосплавный по дереву, ДСП Практика 190 х 30\20\16 мм, 24 зуба</t>
  </si>
  <si>
    <t>остатки авито</t>
  </si>
  <si>
    <t>Электрод ОК46.00 д=4мм ESAB (6.6кг)</t>
  </si>
  <si>
    <t>евгений авито</t>
  </si>
  <si>
    <t>БИС(РОСИНЖСТРОЙ)</t>
  </si>
  <si>
    <t xml:space="preserve"> 5374 от 29.05.2025</t>
  </si>
  <si>
    <t>Пленка п/э техническая 120 микрон рукав 1,5*100м</t>
  </si>
  <si>
    <t>остатки промторг</t>
  </si>
  <si>
    <t>ВИКТОРИЯ(Пономарева)</t>
  </si>
  <si>
    <t xml:space="preserve"> 5392 от 29.05.2025</t>
  </si>
  <si>
    <t>Лента малярная 50мм*50м</t>
  </si>
  <si>
    <t>промторг</t>
  </si>
  <si>
    <t>июнь</t>
  </si>
  <si>
    <t>Шпатель зубчатый 350мм зуб 10мм</t>
  </si>
  <si>
    <t>ормис</t>
  </si>
  <si>
    <t>ЕВРОИНВЕСТ КУДРОВО-2</t>
  </si>
  <si>
    <t xml:space="preserve"> 5425 от 30.05.2025</t>
  </si>
  <si>
    <t>откатить</t>
  </si>
  <si>
    <t>Саморез кровельный ZP 4,8х51</t>
  </si>
  <si>
    <t>крепость</t>
  </si>
  <si>
    <t>Саморез кровельный ZP 4,8х80</t>
  </si>
  <si>
    <t>Саморез гипрок-металл 4,2*75 мм</t>
  </si>
  <si>
    <t>зитар-нева</t>
  </si>
  <si>
    <t>Рулетка 5м х 25мм обрезиненный корпус</t>
  </si>
  <si>
    <t>остатки океан тианджин</t>
  </si>
  <si>
    <t>Круг отрезной по металлу 125х1,2х22,2мм</t>
  </si>
  <si>
    <t>остатки торус</t>
  </si>
  <si>
    <t>Бита PH2 70мм магнит</t>
  </si>
  <si>
    <t>замена скотча</t>
  </si>
  <si>
    <t>убрать как заберем с обьекта</t>
  </si>
  <si>
    <t>Скотч двухсторонний 50мм*50м основа полипропилен</t>
  </si>
  <si>
    <t>матусевич</t>
  </si>
  <si>
    <t>Перчатки х/б ДВОЙНОЙ ОБЛИВ Латексные (желтые)</t>
  </si>
  <si>
    <t>политекс</t>
  </si>
  <si>
    <t>Масло 2-х тактное 1 л</t>
  </si>
  <si>
    <t>Саморезы ГМ 45x3,5 мм усиленные Hard-Fix (100 шт.)</t>
  </si>
  <si>
    <t>Саморезы клопы 32x4,2 мм с буром усиленные Hard-Fix (50 шт.)</t>
  </si>
  <si>
    <t>ПСК(ЦентрСнаб)</t>
  </si>
  <si>
    <t xml:space="preserve"> 5439 от 30.05.2025</t>
  </si>
  <si>
    <t>Электрод АНО-4 д.3</t>
  </si>
  <si>
    <t>остатки дима авито</t>
  </si>
  <si>
    <t>списал с 2-х строчек</t>
  </si>
  <si>
    <t>Круг отрезной по металлу 125х1х22,2мм</t>
  </si>
  <si>
    <t>Респиратор лепесток (10шт/уп)</t>
  </si>
  <si>
    <t>Электрод АНО-4 д.4</t>
  </si>
  <si>
    <t>Лента малярная 50мм</t>
  </si>
  <si>
    <t xml:space="preserve"> 5440 от 30.05.2025</t>
  </si>
  <si>
    <t>Пистолет SORMAT IPU 380/410 для инжекционной массы</t>
  </si>
  <si>
    <t xml:space="preserve">Дюбель-гвоздь DN57P8 Gefest </t>
  </si>
  <si>
    <t>стройкомплектация</t>
  </si>
  <si>
    <t xml:space="preserve">Фиксатор "Опора" 20,25,30,35 (1000) </t>
  </si>
  <si>
    <t>эпик</t>
  </si>
  <si>
    <t>Патрон К-4 желтые 6,8*11</t>
  </si>
  <si>
    <t>КАПРИКОРН-ЭМ(КОЗЕРОГ)</t>
  </si>
  <si>
    <t xml:space="preserve"> 5163 от 26.05.2025</t>
  </si>
  <si>
    <t>да</t>
  </si>
  <si>
    <t>Круг отрезной по металлу 125х1,2х22,2мм Практика</t>
  </si>
  <si>
    <t>стрелы</t>
  </si>
  <si>
    <t>Наконечник ТМЛс 25-8 (уп.5шт) КВТ 78774</t>
  </si>
  <si>
    <t>все инструменты</t>
  </si>
  <si>
    <t xml:space="preserve"> 5346 от 28.05.2025</t>
  </si>
  <si>
    <t>Мелки мраморные разметочные, 5 штук</t>
  </si>
  <si>
    <t>Краска аэрозоль красная 0,52л</t>
  </si>
  <si>
    <t>стройсистема</t>
  </si>
  <si>
    <t>Перчатки ХБ с ПВХ 4-х ниточные</t>
  </si>
  <si>
    <t>остатки белона</t>
  </si>
  <si>
    <t>Маркер перманентный черный, 0,5 мм заостренный ЗУБР МП-50</t>
  </si>
  <si>
    <t>планета</t>
  </si>
  <si>
    <t>Стремянка Новая Высота 5 ступеней 1110105</t>
  </si>
  <si>
    <t>новая высота</t>
  </si>
  <si>
    <t>Хомут-стяжка для кабеля 2,5х150мм нейлон белый (уп.100шт)</t>
  </si>
  <si>
    <t>Бирка кабельная У-134 квадрат 55х55 мм</t>
  </si>
  <si>
    <t>авико</t>
  </si>
  <si>
    <t>Перчатки ХБ с ПВХ 5-х ниточные</t>
  </si>
  <si>
    <t>Отчет о продажах за Май 2025года</t>
  </si>
  <si>
    <t>ЛЕНТЕХСТРОЙ</t>
  </si>
  <si>
    <t xml:space="preserve"> 5938 от 16.06.2025</t>
  </si>
  <si>
    <t>Нож строительный монтажный КВТ НСМ-02 78492</t>
  </si>
  <si>
    <t>этм</t>
  </si>
  <si>
    <t>Скребок с двухкомпонентной рукояткой MATRIX 79547</t>
  </si>
  <si>
    <t>Лезвия запасные для скребков 79547, 79539 (39,5ммх19,5 мм, 5 шт.) MATRIX 79551</t>
  </si>
  <si>
    <t>YORK Швабра с флаундером 40 см телескопический черенок 130 см еврорезьба МОП микрофибра Classic 0810</t>
  </si>
  <si>
    <t>Салфетка для уборки 300х300мм микрофибра</t>
  </si>
  <si>
    <t>волна</t>
  </si>
  <si>
    <t>Полотно холстопрошивное 0,75х50 м серое</t>
  </si>
  <si>
    <t>Жесткая щетка метла для уборки с пластиковой рукояткой Aliba</t>
  </si>
  <si>
    <t>валберис наличка</t>
  </si>
  <si>
    <t>Ведро для мытья полов Hausmann 10 л, мятное HM-1084</t>
  </si>
  <si>
    <t>Веник сорго</t>
  </si>
  <si>
    <t>Совок для мусора металлический с деревянной ручкой</t>
  </si>
  <si>
    <t xml:space="preserve"> 5939 от 16.06.2025</t>
  </si>
  <si>
    <t>Щетка швабра 280 мм дерев. без чер.</t>
  </si>
  <si>
    <t>Черенок 22мм с резьбой</t>
  </si>
  <si>
    <t>Очиститель стекол и зеркал Grass Clean glass 600 мл</t>
  </si>
  <si>
    <t>леруа</t>
  </si>
  <si>
    <t xml:space="preserve">Универсальное моющее средство Jundo Universal Cleanser с дозатором, 1 л </t>
  </si>
  <si>
    <t>яндекс наличка</t>
  </si>
  <si>
    <t>Скребок по кафелю с напылением для расшивки швов, 250 мм</t>
  </si>
  <si>
    <t>Скребок мини 10 см с ручкой с фиксированным лезвием (длина ручки 14.5 см)</t>
  </si>
  <si>
    <t>комус</t>
  </si>
  <si>
    <t xml:space="preserve">Губка (мочалка) для посуды металлическая, спиральная, 15 г, PACLAN "Practi Spiro" 408220 </t>
  </si>
  <si>
    <t>Cosmofen CL-300.140  Космофен 20, очиститель, 1000мл/12</t>
  </si>
  <si>
    <t>герметикснаб</t>
  </si>
  <si>
    <t>БАЛТИНВЕСТСТРОЙ(ЛЕНТЕХСТРОЙ)</t>
  </si>
  <si>
    <t xml:space="preserve"> 5933 от 16.06.2025</t>
  </si>
  <si>
    <t>Перчатки латекс/неопрен Vileda Professional усиленные повышенная прочность зеленые/желтые (размер 7.</t>
  </si>
  <si>
    <t>Ригель(Арсенал)</t>
  </si>
  <si>
    <t xml:space="preserve"> 300 от 16.06.2025</t>
  </si>
  <si>
    <t>Ершов В. А. ИП</t>
  </si>
  <si>
    <t>Мешок полипропиленовый</t>
  </si>
  <si>
    <t>остатки матусевич</t>
  </si>
  <si>
    <t>остатки лидертекс</t>
  </si>
  <si>
    <t>Замок навесной PDR-50-70L  APECS</t>
  </si>
  <si>
    <t>Саморез гипрок-дерево 3,5*51мм</t>
  </si>
  <si>
    <t>остатки скмт</t>
  </si>
  <si>
    <t>Саморез гипрок-дерево 4,2*70мм</t>
  </si>
  <si>
    <t>остатки зитар-нева</t>
  </si>
  <si>
    <t>Саморез гипрок-дерево 4,8*100мм</t>
  </si>
  <si>
    <t>скмт</t>
  </si>
  <si>
    <t>Контроллер Z5R</t>
  </si>
  <si>
    <t>Насос дренажный QUATTRO ELEMENTI Drenaggio 1100 F Inox (1100 Вт, 19000 л/ч, для грязной, 9 м, 7,5кг,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</si>
</sst>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6"/>
      <color rgb="FF000000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e46c0a"/>
      </patternFill>
    </fill>
    <fill>
      <patternFill patternType="solid">
        <fgColor rgb="FFff0000"/>
      </patternFill>
    </fill>
    <fill>
      <patternFill patternType="solid">
        <fgColor rgb="FFffffff"/>
      </patternFill>
    </fill>
    <fill>
      <patternFill patternType="solid">
        <fgColor rgb="FF7030a0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46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2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left"/>
    </xf>
    <xf xfId="0" numFmtId="0" borderId="2" applyBorder="1" fontId="3" applyFont="1" fillId="2" applyFill="1" applyAlignment="1">
      <alignment horizontal="left"/>
    </xf>
    <xf xfId="0" numFmtId="0" borderId="2" applyBorder="1" fontId="3" applyFont="1" fillId="2" applyFill="1" applyAlignment="1">
      <alignment horizontal="right"/>
    </xf>
    <xf xfId="0" numFmtId="4" applyNumberFormat="1" borderId="2" applyBorder="1" fontId="3" applyFont="1" fillId="2" applyFill="1" applyAlignment="1">
      <alignment horizontal="left"/>
    </xf>
    <xf xfId="0" numFmtId="3" applyNumberFormat="1" borderId="2" applyBorder="1" fontId="3" applyFont="1" fillId="2" applyFill="1" applyAlignment="1">
      <alignment horizontal="left"/>
    </xf>
    <xf xfId="0" numFmtId="3" applyNumberFormat="1" borderId="3" applyBorder="1" fontId="3" applyFont="1" fillId="3" applyFill="1" applyAlignment="1">
      <alignment horizontal="left"/>
    </xf>
    <xf xfId="0" numFmtId="0" borderId="1" applyBorder="1" fontId="3" applyFont="1" fillId="0" applyAlignment="1">
      <alignment horizontal="right"/>
    </xf>
    <xf xfId="0" numFmtId="4" applyNumberFormat="1" borderId="1" applyBorder="1" fontId="3" applyFont="1" fillId="0" applyAlignment="1">
      <alignment horizontal="left"/>
    </xf>
    <xf xfId="0" numFmtId="3" applyNumberFormat="1" borderId="1" applyBorder="1" fontId="3" applyFont="1" fillId="0" applyAlignment="1">
      <alignment horizontal="right"/>
    </xf>
    <xf xfId="0" numFmtId="3" applyNumberFormat="1" borderId="1" applyBorder="1" fontId="3" applyFont="1" fillId="0" applyAlignment="1">
      <alignment horizontal="left"/>
    </xf>
    <xf xfId="0" numFmtId="0" borderId="4" applyBorder="1" fontId="3" applyFont="1" fillId="0" applyAlignment="1">
      <alignment horizontal="right"/>
    </xf>
    <xf xfId="0" numFmtId="4" applyNumberFormat="1" borderId="4" applyBorder="1" fontId="3" applyFont="1" fillId="0" applyAlignment="1">
      <alignment horizontal="right"/>
    </xf>
    <xf xfId="0" numFmtId="3" applyNumberFormat="1" borderId="4" applyBorder="1" fontId="3" applyFont="1" fillId="0" applyAlignment="1">
      <alignment horizontal="right"/>
    </xf>
    <xf xfId="0" numFmtId="0" borderId="4" applyBorder="1" fontId="3" applyFont="1" fillId="0" applyAlignment="1">
      <alignment horizontal="left"/>
    </xf>
    <xf xfId="0" numFmtId="3" applyNumberFormat="1" borderId="4" applyBorder="1" fontId="3" applyFont="1" fillId="3" applyFill="1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4" applyBorder="1" fontId="3" applyFont="1" fillId="4" applyFill="1" applyAlignment="1">
      <alignment horizontal="right"/>
    </xf>
    <xf xfId="0" numFmtId="4" applyNumberFormat="1" borderId="4" applyBorder="1" fontId="3" applyFont="1" fillId="4" applyFill="1" applyAlignment="1">
      <alignment horizontal="right"/>
    </xf>
    <xf xfId="0" numFmtId="3" applyNumberFormat="1" borderId="4" applyBorder="1" fontId="3" applyFont="1" fillId="4" applyFill="1" applyAlignment="1">
      <alignment horizontal="right"/>
    </xf>
    <xf xfId="0" numFmtId="0" borderId="4" applyBorder="1" fontId="3" applyFont="1" fillId="4" applyFill="1" applyAlignment="1">
      <alignment horizontal="left"/>
    </xf>
    <xf xfId="0" numFmtId="3" applyNumberFormat="1" borderId="4" applyBorder="1" fontId="3" applyFont="1" fillId="4" applyFill="1" applyAlignment="1">
      <alignment horizontal="left"/>
    </xf>
    <xf xfId="0" numFmtId="3" applyNumberFormat="1" borderId="5" applyBorder="1" fontId="3" applyFont="1" fillId="4" applyFill="1" applyAlignment="1">
      <alignment horizontal="left"/>
    </xf>
    <xf xfId="0" numFmtId="0" borderId="5" applyBorder="1" fontId="3" applyFont="1" fillId="4" applyFill="1" applyAlignment="1">
      <alignment horizontal="left"/>
    </xf>
    <xf xfId="0" numFmtId="0" borderId="4" applyBorder="1" fontId="3" applyFont="1" fillId="5" applyFill="1" applyAlignment="1">
      <alignment horizontal="right"/>
    </xf>
    <xf xfId="0" numFmtId="4" applyNumberFormat="1" borderId="4" applyBorder="1" fontId="3" applyFont="1" fillId="5" applyFill="1" applyAlignment="1">
      <alignment horizontal="right"/>
    </xf>
    <xf xfId="0" numFmtId="3" applyNumberFormat="1" borderId="4" applyBorder="1" fontId="3" applyFont="1" fillId="5" applyFill="1" applyAlignment="1">
      <alignment horizontal="right"/>
    </xf>
    <xf xfId="0" numFmtId="0" borderId="4" applyBorder="1" fontId="3" applyFont="1" fillId="5" applyFill="1" applyAlignment="1">
      <alignment horizontal="left"/>
    </xf>
    <xf xfId="0" numFmtId="3" applyNumberFormat="1" borderId="5" applyBorder="1" fontId="3" applyFont="1" fillId="5" applyFill="1" applyAlignment="1">
      <alignment horizontal="right"/>
    </xf>
    <xf xfId="0" numFmtId="3" applyNumberFormat="1" borderId="5" applyBorder="1" fontId="3" applyFont="1" fillId="5" applyFill="1" applyAlignment="1">
      <alignment horizontal="left"/>
    </xf>
    <xf xfId="0" numFmtId="0" borderId="5" applyBorder="1" fontId="3" applyFont="1" fillId="5" applyFill="1" applyAlignment="1">
      <alignment horizontal="left"/>
    </xf>
    <xf xfId="0" numFmtId="4" applyNumberFormat="1" borderId="1" applyBorder="1" fontId="3" applyFont="1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general"/>
    </xf>
    <xf xfId="0" numFmtId="0" borderId="3" applyBorder="1" fontId="3" applyFont="1" fillId="3" applyFill="1" applyAlignment="1">
      <alignment horizontal="left"/>
    </xf>
    <xf xfId="0" numFmtId="0" borderId="4" applyBorder="1" fontId="3" applyFont="1" fillId="3" applyFill="1" applyAlignment="1">
      <alignment horizontal="left"/>
    </xf>
    <xf xfId="0" numFmtId="0" borderId="5" applyBorder="1" fontId="3" applyFont="1" fillId="6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43"/>
  <sheetViews>
    <sheetView workbookViewId="0">
      <pane state="frozen" activePane="bottomLeft" topLeftCell="A4" ySplit="3" xSplit="0"/>
    </sheetView>
  </sheetViews>
  <sheetFormatPr defaultRowHeight="15" x14ac:dyDescent="0.25"/>
  <cols>
    <col min="1" max="1" style="37" width="34.14785714285715" customWidth="1" bestFit="1"/>
    <col min="2" max="2" style="38" width="71.86214285714286" customWidth="1" bestFit="1"/>
    <col min="3" max="3" style="39" width="13.005" customWidth="1" bestFit="1"/>
    <col min="4" max="4" style="40" width="14.576428571428572" customWidth="1" bestFit="1"/>
    <col min="5" max="5" style="40" width="14.43357142857143" customWidth="1" bestFit="1"/>
    <col min="6" max="6" style="40" width="15.719285714285713" customWidth="1" bestFit="1"/>
    <col min="7" max="7" style="40" width="16.576428571428572" customWidth="1" bestFit="1"/>
    <col min="8" max="8" style="41" width="11.147857142857141" customWidth="1" bestFit="1"/>
    <col min="9" max="9" style="40" width="17.576428571428572" customWidth="1" bestFit="1"/>
    <col min="10" max="10" style="41" width="28.719285714285714" customWidth="1" bestFit="1"/>
    <col min="11" max="11" style="40" width="4.433571428571429" customWidth="1" bestFit="1"/>
    <col min="12" max="12" style="37" width="20.576428571428572" customWidth="1" bestFit="1"/>
    <col min="13" max="13" style="37" width="23.576428571428572" customWidth="1" bestFit="1"/>
  </cols>
  <sheetData>
    <row x14ac:dyDescent="0.25" r="1" customHeight="1" ht="18.75">
      <c r="A1" s="1"/>
      <c r="B1" s="2"/>
      <c r="C1" s="3"/>
      <c r="D1" s="4" t="s">
        <v>114</v>
      </c>
      <c r="E1" s="5"/>
      <c r="F1" s="5"/>
      <c r="G1" s="5"/>
      <c r="H1" s="6"/>
      <c r="I1" s="5"/>
      <c r="J1" s="6"/>
      <c r="K1" s="5"/>
      <c r="L1" s="1"/>
      <c r="M1" s="1"/>
    </row>
    <row x14ac:dyDescent="0.25" r="2" customHeight="1" ht="18.75">
      <c r="A2" s="1"/>
      <c r="B2" s="2"/>
      <c r="C2" s="3"/>
      <c r="D2" s="5"/>
      <c r="E2" s="5"/>
      <c r="F2" s="5"/>
      <c r="G2" s="5"/>
      <c r="H2" s="6"/>
      <c r="I2" s="5"/>
      <c r="J2" s="6"/>
      <c r="K2" s="5"/>
      <c r="L2" s="1"/>
      <c r="M2" s="1"/>
    </row>
    <row x14ac:dyDescent="0.25" r="3" customHeight="1" ht="18.75">
      <c r="A3" s="7" t="s">
        <v>1</v>
      </c>
      <c r="B3" s="8" t="s">
        <v>2</v>
      </c>
      <c r="C3" s="9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7" t="s">
        <v>8</v>
      </c>
      <c r="I3" s="10" t="s">
        <v>9</v>
      </c>
      <c r="J3" s="43" t="s">
        <v>10</v>
      </c>
      <c r="K3" s="10"/>
      <c r="L3" s="1"/>
      <c r="M3" s="1"/>
    </row>
    <row x14ac:dyDescent="0.25" r="4" customHeight="1" ht="15">
      <c r="A4" s="1" t="s">
        <v>115</v>
      </c>
      <c r="B4" s="12" t="s">
        <v>116</v>
      </c>
      <c r="C4" s="13" t="s">
        <v>13</v>
      </c>
      <c r="D4" s="14"/>
      <c r="E4" s="15" t="s">
        <v>13</v>
      </c>
      <c r="F4" s="14">
        <f>SUM(F5:F16)</f>
      </c>
      <c r="G4" s="14">
        <f>SUM(G5:G16)</f>
      </c>
      <c r="H4" s="6" t="s">
        <v>23</v>
      </c>
      <c r="I4" s="14">
        <f>SUM(I5:I16)</f>
      </c>
      <c r="J4" s="6"/>
      <c r="K4" s="5"/>
      <c r="L4" s="1"/>
      <c r="M4" s="1"/>
    </row>
    <row x14ac:dyDescent="0.25" r="5" customHeight="1" ht="15">
      <c r="A5" s="1"/>
      <c r="B5" s="16" t="s">
        <v>117</v>
      </c>
      <c r="C5" s="17">
        <v>20</v>
      </c>
      <c r="D5" s="18">
        <f>5944.56/20</f>
      </c>
      <c r="E5" s="18">
        <v>356</v>
      </c>
      <c r="F5" s="18">
        <f>C5*E5</f>
      </c>
      <c r="G5" s="18">
        <f>(E5-D5)*C5</f>
      </c>
      <c r="H5" s="19"/>
      <c r="I5" s="18">
        <f>C5*D5</f>
      </c>
      <c r="J5" s="44" t="s">
        <v>118</v>
      </c>
      <c r="K5" s="14">
        <v>18</v>
      </c>
      <c r="L5" s="1"/>
      <c r="M5" s="1"/>
    </row>
    <row x14ac:dyDescent="0.25" r="6" customHeight="1" ht="15">
      <c r="A6" s="1"/>
      <c r="B6" s="16" t="s">
        <v>119</v>
      </c>
      <c r="C6" s="17">
        <v>44</v>
      </c>
      <c r="D6" s="18">
        <v>108.68</v>
      </c>
      <c r="E6" s="18">
        <v>210</v>
      </c>
      <c r="F6" s="18">
        <f>C6*E6</f>
      </c>
      <c r="G6" s="18">
        <f>(E6-D6)*C6</f>
      </c>
      <c r="H6" s="19"/>
      <c r="I6" s="18">
        <f>C6*D6</f>
      </c>
      <c r="J6" s="44" t="s">
        <v>36</v>
      </c>
      <c r="K6" s="14">
        <v>19</v>
      </c>
      <c r="L6" s="1"/>
      <c r="M6" s="1"/>
    </row>
    <row x14ac:dyDescent="0.25" r="7" customHeight="1" ht="15">
      <c r="A7" s="1"/>
      <c r="B7" s="16" t="s">
        <v>119</v>
      </c>
      <c r="C7" s="17">
        <v>6</v>
      </c>
      <c r="D7" s="18"/>
      <c r="E7" s="18">
        <v>210</v>
      </c>
      <c r="F7" s="18">
        <f>C7*E7</f>
      </c>
      <c r="G7" s="18">
        <f>(E7-D7)*C7</f>
      </c>
      <c r="H7" s="19"/>
      <c r="I7" s="18">
        <f>C7*D7</f>
      </c>
      <c r="J7" s="18"/>
      <c r="K7" s="5"/>
      <c r="L7" s="45"/>
      <c r="M7" s="45"/>
    </row>
    <row x14ac:dyDescent="0.25" r="8" customHeight="1" ht="15">
      <c r="A8" s="1"/>
      <c r="B8" s="16" t="s">
        <v>120</v>
      </c>
      <c r="C8" s="17">
        <v>20</v>
      </c>
      <c r="D8" s="18">
        <v>44.73</v>
      </c>
      <c r="E8" s="18">
        <v>99</v>
      </c>
      <c r="F8" s="18">
        <f>C8*E8</f>
      </c>
      <c r="G8" s="18">
        <f>(E8-D8)*C8</f>
      </c>
      <c r="H8" s="19"/>
      <c r="I8" s="18">
        <f>C8*D8</f>
      </c>
      <c r="J8" s="44" t="s">
        <v>36</v>
      </c>
      <c r="K8" s="14">
        <v>18</v>
      </c>
      <c r="L8" s="1"/>
      <c r="M8" s="1"/>
    </row>
    <row x14ac:dyDescent="0.25" r="9" customHeight="1" ht="15">
      <c r="A9" s="1"/>
      <c r="B9" s="16" t="s">
        <v>121</v>
      </c>
      <c r="C9" s="17">
        <v>20</v>
      </c>
      <c r="D9" s="18">
        <v>776</v>
      </c>
      <c r="E9" s="18">
        <v>1590</v>
      </c>
      <c r="F9" s="18">
        <f>C9*E9</f>
      </c>
      <c r="G9" s="18">
        <f>(E9-D9)*C9</f>
      </c>
      <c r="H9" s="19"/>
      <c r="I9" s="18">
        <f>C9*D9</f>
      </c>
      <c r="J9" s="44" t="s">
        <v>99</v>
      </c>
      <c r="K9" s="14">
        <v>23</v>
      </c>
      <c r="L9" s="1"/>
      <c r="M9" s="1"/>
    </row>
    <row x14ac:dyDescent="0.25" r="10" customHeight="1" ht="15">
      <c r="A10" s="1"/>
      <c r="B10" s="16" t="s">
        <v>122</v>
      </c>
      <c r="C10" s="17">
        <v>70</v>
      </c>
      <c r="D10" s="18">
        <v>15.6</v>
      </c>
      <c r="E10" s="18">
        <v>49</v>
      </c>
      <c r="F10" s="18">
        <f>C10*E10</f>
      </c>
      <c r="G10" s="18">
        <f>(E10-D10)*C10</f>
      </c>
      <c r="H10" s="19"/>
      <c r="I10" s="18">
        <f>C10*D10</f>
      </c>
      <c r="J10" s="44" t="s">
        <v>123</v>
      </c>
      <c r="K10" s="14">
        <v>18</v>
      </c>
      <c r="L10" s="1"/>
      <c r="M10" s="1"/>
    </row>
    <row x14ac:dyDescent="0.25" r="11" customHeight="1" ht="15">
      <c r="A11" s="1"/>
      <c r="B11" s="16" t="s">
        <v>124</v>
      </c>
      <c r="C11" s="17">
        <v>40</v>
      </c>
      <c r="D11" s="18">
        <f>39000/40</f>
      </c>
      <c r="E11" s="18">
        <v>1290</v>
      </c>
      <c r="F11" s="18">
        <f>C11*E11</f>
      </c>
      <c r="G11" s="18">
        <f>(E11-D11)*C11</f>
      </c>
      <c r="H11" s="19"/>
      <c r="I11" s="18">
        <f>C11*D11</f>
      </c>
      <c r="J11" s="44" t="s">
        <v>123</v>
      </c>
      <c r="K11" s="14">
        <v>18</v>
      </c>
      <c r="L11" s="1"/>
      <c r="M11" s="1"/>
    </row>
    <row x14ac:dyDescent="0.25" r="12" customHeight="1" ht="15">
      <c r="A12" s="1"/>
      <c r="B12" s="16" t="s">
        <v>125</v>
      </c>
      <c r="C12" s="17">
        <v>20</v>
      </c>
      <c r="D12" s="18">
        <f>587*1.2</f>
      </c>
      <c r="E12" s="18">
        <v>999</v>
      </c>
      <c r="F12" s="18">
        <f>C12*E12</f>
      </c>
      <c r="G12" s="18">
        <f>(E12-D12)*C12</f>
      </c>
      <c r="H12" s="19"/>
      <c r="I12" s="18">
        <f>C12*D12</f>
      </c>
      <c r="J12" s="44" t="s">
        <v>126</v>
      </c>
      <c r="K12" s="14">
        <v>23</v>
      </c>
      <c r="L12" s="1"/>
      <c r="M12" s="1"/>
    </row>
    <row x14ac:dyDescent="0.25" r="13" customHeight="1" ht="15">
      <c r="A13" s="1"/>
      <c r="B13" s="16" t="s">
        <v>127</v>
      </c>
      <c r="C13" s="17">
        <v>9</v>
      </c>
      <c r="D13" s="18">
        <v>391</v>
      </c>
      <c r="E13" s="18">
        <v>460</v>
      </c>
      <c r="F13" s="18">
        <f>C13*E13</f>
      </c>
      <c r="G13" s="18">
        <f>(E13-D13)*C13</f>
      </c>
      <c r="H13" s="19"/>
      <c r="I13" s="18">
        <f>C13*D13</f>
      </c>
      <c r="J13" s="44" t="s">
        <v>99</v>
      </c>
      <c r="K13" s="14">
        <v>23</v>
      </c>
      <c r="L13" s="1"/>
      <c r="M13" s="1"/>
    </row>
    <row x14ac:dyDescent="0.25" r="14" customHeight="1" ht="15">
      <c r="A14" s="1"/>
      <c r="B14" s="16" t="s">
        <v>127</v>
      </c>
      <c r="C14" s="17">
        <v>11</v>
      </c>
      <c r="D14" s="18"/>
      <c r="E14" s="18">
        <v>460</v>
      </c>
      <c r="F14" s="18">
        <f>C14*E14</f>
      </c>
      <c r="G14" s="18">
        <f>(E14-D14)*C14</f>
      </c>
      <c r="H14" s="19"/>
      <c r="I14" s="18">
        <f>C14*D14</f>
      </c>
      <c r="J14" s="18"/>
      <c r="K14" s="5"/>
      <c r="L14" s="1"/>
      <c r="M14" s="1"/>
    </row>
    <row x14ac:dyDescent="0.25" r="15" customHeight="1" ht="15">
      <c r="A15" s="1"/>
      <c r="B15" s="16" t="s">
        <v>128</v>
      </c>
      <c r="C15" s="17">
        <v>20</v>
      </c>
      <c r="D15" s="18">
        <v>118.68</v>
      </c>
      <c r="E15" s="18">
        <v>255</v>
      </c>
      <c r="F15" s="18">
        <f>C15*E15</f>
      </c>
      <c r="G15" s="18">
        <f>(E15-D15)*C15</f>
      </c>
      <c r="H15" s="19"/>
      <c r="I15" s="18">
        <f>C15*D15</f>
      </c>
      <c r="J15" s="44" t="s">
        <v>29</v>
      </c>
      <c r="K15" s="14">
        <v>20</v>
      </c>
      <c r="L15" s="1"/>
      <c r="M15" s="1"/>
    </row>
    <row x14ac:dyDescent="0.25" r="16" customHeight="1" ht="15">
      <c r="A16" s="1"/>
      <c r="B16" s="16" t="s">
        <v>129</v>
      </c>
      <c r="C16" s="17">
        <v>20</v>
      </c>
      <c r="D16" s="18">
        <v>117.76</v>
      </c>
      <c r="E16" s="18">
        <v>228</v>
      </c>
      <c r="F16" s="18">
        <f>C16*E16</f>
      </c>
      <c r="G16" s="18">
        <f>(E16-D16)*C16</f>
      </c>
      <c r="H16" s="19"/>
      <c r="I16" s="18">
        <f>C16*D16</f>
      </c>
      <c r="J16" s="44" t="s">
        <v>29</v>
      </c>
      <c r="K16" s="14">
        <v>20</v>
      </c>
      <c r="L16" s="1"/>
      <c r="M16" s="1"/>
    </row>
    <row x14ac:dyDescent="0.25" r="17" customHeight="1" ht="15">
      <c r="A17" s="1" t="s">
        <v>115</v>
      </c>
      <c r="B17" s="12" t="s">
        <v>130</v>
      </c>
      <c r="C17" s="13" t="s">
        <v>13</v>
      </c>
      <c r="D17" s="14"/>
      <c r="E17" s="15" t="s">
        <v>13</v>
      </c>
      <c r="F17" s="14">
        <f>SUM(F18:F26)</f>
      </c>
      <c r="G17" s="14">
        <f>SUM(G18:G26)</f>
      </c>
      <c r="H17" s="6" t="s">
        <v>23</v>
      </c>
      <c r="I17" s="14">
        <f>SUM(I18:I26)</f>
      </c>
      <c r="J17" s="6"/>
      <c r="K17" s="5"/>
      <c r="L17" s="1"/>
      <c r="M17" s="1"/>
    </row>
    <row x14ac:dyDescent="0.25" r="18" customHeight="1" ht="15">
      <c r="A18" s="1"/>
      <c r="B18" s="16" t="s">
        <v>131</v>
      </c>
      <c r="C18" s="17">
        <v>100</v>
      </c>
      <c r="D18" s="18">
        <v>89.01</v>
      </c>
      <c r="E18" s="18">
        <v>115</v>
      </c>
      <c r="F18" s="18">
        <f>C18*E18</f>
      </c>
      <c r="G18" s="18">
        <f>(E18-D18)*C18</f>
      </c>
      <c r="H18" s="19"/>
      <c r="I18" s="18">
        <f>C18*D18</f>
      </c>
      <c r="J18" s="44" t="s">
        <v>54</v>
      </c>
      <c r="K18" s="14">
        <v>18</v>
      </c>
      <c r="L18" s="1"/>
      <c r="M18" s="1"/>
    </row>
    <row x14ac:dyDescent="0.25" r="19" customHeight="1" ht="15">
      <c r="A19" s="1"/>
      <c r="B19" s="16" t="s">
        <v>132</v>
      </c>
      <c r="C19" s="17">
        <v>100</v>
      </c>
      <c r="D19" s="18">
        <v>68.4</v>
      </c>
      <c r="E19" s="18">
        <v>98</v>
      </c>
      <c r="F19" s="18">
        <f>C19*E19</f>
      </c>
      <c r="G19" s="18">
        <f>(E19-D19)*C19</f>
      </c>
      <c r="H19" s="19"/>
      <c r="I19" s="18">
        <f>C19*D19</f>
      </c>
      <c r="J19" s="44" t="s">
        <v>36</v>
      </c>
      <c r="K19" s="14">
        <v>19</v>
      </c>
      <c r="L19" s="1"/>
      <c r="M19" s="1"/>
    </row>
    <row x14ac:dyDescent="0.25" r="20" customHeight="1" ht="15">
      <c r="A20" s="1"/>
      <c r="B20" s="16" t="s">
        <v>133</v>
      </c>
      <c r="C20" s="17">
        <v>150</v>
      </c>
      <c r="D20" s="18">
        <v>121</v>
      </c>
      <c r="E20" s="18">
        <v>225</v>
      </c>
      <c r="F20" s="18">
        <f>C20*E20</f>
      </c>
      <c r="G20" s="18">
        <f>(E20-D20)*C20</f>
      </c>
      <c r="H20" s="19"/>
      <c r="I20" s="18">
        <f>C20*D20</f>
      </c>
      <c r="J20" s="44" t="s">
        <v>134</v>
      </c>
      <c r="K20" s="14">
        <v>18</v>
      </c>
      <c r="L20" s="1"/>
      <c r="M20" s="1"/>
    </row>
    <row x14ac:dyDescent="0.25" r="21" customHeight="1" ht="15">
      <c r="A21" s="1"/>
      <c r="B21" s="16" t="s">
        <v>135</v>
      </c>
      <c r="C21" s="17">
        <v>100</v>
      </c>
      <c r="D21" s="18">
        <f>21225*1.2/100</f>
      </c>
      <c r="E21" s="18">
        <v>360</v>
      </c>
      <c r="F21" s="18">
        <f>C21*E21</f>
      </c>
      <c r="G21" s="18">
        <f>(E21-D21)*C21</f>
      </c>
      <c r="H21" s="19"/>
      <c r="I21" s="18">
        <f>C21*D21</f>
      </c>
      <c r="J21" s="44" t="s">
        <v>136</v>
      </c>
      <c r="K21" s="14">
        <v>23</v>
      </c>
      <c r="L21" s="1"/>
      <c r="M21" s="1"/>
    </row>
    <row x14ac:dyDescent="0.25" r="22" customHeight="1" ht="15">
      <c r="A22" s="1"/>
      <c r="B22" s="16" t="s">
        <v>122</v>
      </c>
      <c r="C22" s="17">
        <v>834</v>
      </c>
      <c r="D22" s="18">
        <v>15.6</v>
      </c>
      <c r="E22" s="18">
        <v>49</v>
      </c>
      <c r="F22" s="18">
        <f>C22*E22</f>
      </c>
      <c r="G22" s="18">
        <f>(E22-D22)*C22</f>
      </c>
      <c r="H22" s="19"/>
      <c r="I22" s="18">
        <f>C22*D22</f>
      </c>
      <c r="J22" s="44" t="s">
        <v>123</v>
      </c>
      <c r="K22" s="14">
        <v>18</v>
      </c>
      <c r="L22" s="1"/>
      <c r="M22" s="1"/>
    </row>
    <row x14ac:dyDescent="0.25" r="23" customHeight="1" ht="15">
      <c r="A23" s="1"/>
      <c r="B23" s="16" t="s">
        <v>137</v>
      </c>
      <c r="C23" s="17">
        <v>50</v>
      </c>
      <c r="D23" s="18">
        <v>150.62</v>
      </c>
      <c r="E23" s="18">
        <v>242</v>
      </c>
      <c r="F23" s="18">
        <f>C23*E23</f>
      </c>
      <c r="G23" s="18">
        <f>(E23-D23)*C23</f>
      </c>
      <c r="H23" s="19"/>
      <c r="I23" s="18">
        <f>C23*D23</f>
      </c>
      <c r="J23" s="44" t="s">
        <v>54</v>
      </c>
      <c r="K23" s="14">
        <v>18</v>
      </c>
      <c r="L23" s="1"/>
      <c r="M23" s="1"/>
    </row>
    <row x14ac:dyDescent="0.25" r="24" customHeight="1" ht="15">
      <c r="A24" s="1"/>
      <c r="B24" s="16" t="s">
        <v>138</v>
      </c>
      <c r="C24" s="17">
        <v>30</v>
      </c>
      <c r="D24" s="18">
        <f>16890.12/30</f>
      </c>
      <c r="E24" s="18">
        <v>743</v>
      </c>
      <c r="F24" s="18">
        <f>C24*E24</f>
      </c>
      <c r="G24" s="18">
        <f>(E24-D24)*C24</f>
      </c>
      <c r="H24" s="19"/>
      <c r="I24" s="18">
        <f>C24*D24</f>
      </c>
      <c r="J24" s="44" t="s">
        <v>139</v>
      </c>
      <c r="K24" s="14">
        <v>20</v>
      </c>
      <c r="L24" s="1"/>
      <c r="M24" s="1"/>
    </row>
    <row x14ac:dyDescent="0.25" r="25" customHeight="1" ht="15">
      <c r="A25" s="1"/>
      <c r="B25" s="16" t="s">
        <v>140</v>
      </c>
      <c r="C25" s="17">
        <v>300</v>
      </c>
      <c r="D25" s="18"/>
      <c r="E25" s="18">
        <v>50</v>
      </c>
      <c r="F25" s="18">
        <f>C25*E25</f>
      </c>
      <c r="G25" s="18">
        <f>(E25-D25)*C25</f>
      </c>
      <c r="H25" s="19"/>
      <c r="I25" s="18">
        <f>C25*D25</f>
      </c>
      <c r="J25" s="18"/>
      <c r="K25" s="5"/>
      <c r="L25" s="45"/>
      <c r="M25" s="45"/>
    </row>
    <row x14ac:dyDescent="0.25" r="26" customHeight="1" ht="15">
      <c r="A26" s="1"/>
      <c r="B26" s="16" t="s">
        <v>141</v>
      </c>
      <c r="C26" s="17">
        <v>20</v>
      </c>
      <c r="D26" s="18">
        <v>789</v>
      </c>
      <c r="E26" s="18">
        <v>990</v>
      </c>
      <c r="F26" s="18">
        <f>C26*E26</f>
      </c>
      <c r="G26" s="18">
        <f>(E26-D26)*C26</f>
      </c>
      <c r="H26" s="19"/>
      <c r="I26" s="18">
        <f>C26*D26</f>
      </c>
      <c r="J26" s="44" t="s">
        <v>142</v>
      </c>
      <c r="K26" s="14">
        <v>19</v>
      </c>
      <c r="L26" s="1"/>
      <c r="M26" s="1"/>
    </row>
    <row x14ac:dyDescent="0.25" r="27" customHeight="1" ht="15">
      <c r="A27" s="1" t="s">
        <v>143</v>
      </c>
      <c r="B27" s="12" t="s">
        <v>144</v>
      </c>
      <c r="C27" s="13" t="s">
        <v>13</v>
      </c>
      <c r="D27" s="14"/>
      <c r="E27" s="15" t="s">
        <v>13</v>
      </c>
      <c r="F27" s="14">
        <f>SUM(F28:F32)</f>
      </c>
      <c r="G27" s="14">
        <f>SUM(G28:G32)</f>
      </c>
      <c r="H27" s="6" t="s">
        <v>23</v>
      </c>
      <c r="I27" s="14">
        <f>SUM(I28:I32)</f>
      </c>
      <c r="J27" s="6"/>
      <c r="K27" s="5"/>
      <c r="L27" s="1"/>
      <c r="M27" s="1"/>
    </row>
    <row x14ac:dyDescent="0.25" r="28" customHeight="1" ht="15">
      <c r="A28" s="1"/>
      <c r="B28" s="16" t="s">
        <v>140</v>
      </c>
      <c r="C28" s="17">
        <v>50</v>
      </c>
      <c r="D28" s="18"/>
      <c r="E28" s="18">
        <v>50</v>
      </c>
      <c r="F28" s="18">
        <f>C28*E28</f>
      </c>
      <c r="G28" s="18">
        <f>(E28-D28)*C28</f>
      </c>
      <c r="H28" s="19"/>
      <c r="I28" s="18">
        <f>C28*D28</f>
      </c>
      <c r="J28" s="18"/>
      <c r="K28" s="5"/>
      <c r="L28" s="45"/>
      <c r="M28" s="45"/>
    </row>
    <row x14ac:dyDescent="0.25" r="29" customHeight="1" ht="15">
      <c r="A29" s="1"/>
      <c r="B29" s="16" t="s">
        <v>122</v>
      </c>
      <c r="C29" s="17">
        <v>10</v>
      </c>
      <c r="D29" s="18">
        <v>15.6</v>
      </c>
      <c r="E29" s="18">
        <v>49</v>
      </c>
      <c r="F29" s="18">
        <f>C29*E29</f>
      </c>
      <c r="G29" s="18">
        <f>(E29-D29)*C29</f>
      </c>
      <c r="H29" s="19"/>
      <c r="I29" s="18">
        <f>C29*D29</f>
      </c>
      <c r="J29" s="44" t="s">
        <v>123</v>
      </c>
      <c r="K29" s="14">
        <v>19</v>
      </c>
      <c r="L29" s="1"/>
      <c r="M29" s="1"/>
    </row>
    <row x14ac:dyDescent="0.25" r="30" customHeight="1" ht="15">
      <c r="A30" s="1"/>
      <c r="B30" s="16" t="s">
        <v>124</v>
      </c>
      <c r="C30" s="17">
        <v>5</v>
      </c>
      <c r="D30" s="18">
        <f>4875/5</f>
      </c>
      <c r="E30" s="18">
        <v>1290</v>
      </c>
      <c r="F30" s="18">
        <f>C30*E30</f>
      </c>
      <c r="G30" s="18">
        <f>(E30-D30)*C30</f>
      </c>
      <c r="H30" s="19"/>
      <c r="I30" s="18">
        <f>C30*D30</f>
      </c>
      <c r="J30" s="44" t="s">
        <v>123</v>
      </c>
      <c r="K30" s="14">
        <v>19</v>
      </c>
      <c r="L30" s="1"/>
      <c r="M30" s="1"/>
    </row>
    <row x14ac:dyDescent="0.25" r="31" customHeight="1" ht="15">
      <c r="A31" s="1"/>
      <c r="B31" s="16" t="s">
        <v>127</v>
      </c>
      <c r="C31" s="17">
        <v>15</v>
      </c>
      <c r="D31" s="18"/>
      <c r="E31" s="18">
        <v>460</v>
      </c>
      <c r="F31" s="18">
        <f>C31*E31</f>
      </c>
      <c r="G31" s="18">
        <f>(E31-D31)*C31</f>
      </c>
      <c r="H31" s="19"/>
      <c r="I31" s="18">
        <f>C31*D31</f>
      </c>
      <c r="J31" s="18"/>
      <c r="K31" s="5"/>
      <c r="L31" s="45"/>
      <c r="M31" s="45"/>
    </row>
    <row x14ac:dyDescent="0.25" r="32" customHeight="1" ht="15">
      <c r="A32" s="1"/>
      <c r="B32" s="16" t="s">
        <v>145</v>
      </c>
      <c r="C32" s="17">
        <v>30</v>
      </c>
      <c r="D32" s="18">
        <f>12464.64/30</f>
      </c>
      <c r="E32" s="18">
        <v>595</v>
      </c>
      <c r="F32" s="18">
        <f>C32*E32</f>
      </c>
      <c r="G32" s="18">
        <f>(E32-D32)*C32</f>
      </c>
      <c r="H32" s="19"/>
      <c r="I32" s="18">
        <f>C32*D32</f>
      </c>
      <c r="J32" s="44" t="s">
        <v>139</v>
      </c>
      <c r="K32" s="14">
        <v>20</v>
      </c>
      <c r="L32" s="1"/>
      <c r="M32" s="1"/>
    </row>
    <row x14ac:dyDescent="0.25" r="33" customHeight="1" ht="15">
      <c r="A33" s="1" t="s">
        <v>146</v>
      </c>
      <c r="B33" s="12" t="s">
        <v>147</v>
      </c>
      <c r="C33" s="13" t="s">
        <v>13</v>
      </c>
      <c r="D33" s="14"/>
      <c r="E33" s="15" t="s">
        <v>13</v>
      </c>
      <c r="F33" s="14">
        <f>SUM(F34:F43)</f>
      </c>
      <c r="G33" s="14">
        <f>SUM(G34:G43)</f>
      </c>
      <c r="H33" s="6" t="s">
        <v>148</v>
      </c>
      <c r="I33" s="14">
        <f>SUM(I34:I43)</f>
      </c>
      <c r="J33" s="6"/>
      <c r="K33" s="5"/>
      <c r="L33" s="1"/>
      <c r="M33" s="1"/>
    </row>
    <row x14ac:dyDescent="0.25" r="34" customHeight="1" ht="15">
      <c r="A34" s="1"/>
      <c r="B34" s="16" t="s">
        <v>149</v>
      </c>
      <c r="C34" s="17">
        <v>500</v>
      </c>
      <c r="D34" s="18">
        <v>6</v>
      </c>
      <c r="E34" s="18">
        <v>7.24</v>
      </c>
      <c r="F34" s="18">
        <f>C34*E34</f>
      </c>
      <c r="G34" s="18">
        <f>(E34-D34)*C34</f>
      </c>
      <c r="H34" s="19"/>
      <c r="I34" s="18">
        <f>C34*D34</f>
      </c>
      <c r="J34" s="44" t="s">
        <v>150</v>
      </c>
      <c r="K34" s="14">
        <v>17</v>
      </c>
      <c r="L34" s="1"/>
      <c r="M34" s="1"/>
    </row>
    <row x14ac:dyDescent="0.25" r="35" customHeight="1" ht="15">
      <c r="A35" s="1"/>
      <c r="B35" s="16" t="s">
        <v>104</v>
      </c>
      <c r="C35" s="17">
        <v>300</v>
      </c>
      <c r="D35" s="18">
        <v>8.8</v>
      </c>
      <c r="E35" s="18">
        <v>12.5</v>
      </c>
      <c r="F35" s="18">
        <f>C35*E35</f>
      </c>
      <c r="G35" s="18">
        <f>(E35-D35)*C35</f>
      </c>
      <c r="H35" s="19"/>
      <c r="I35" s="18">
        <f>C35*D35</f>
      </c>
      <c r="J35" s="44" t="s">
        <v>151</v>
      </c>
      <c r="K35" s="14">
        <v>17</v>
      </c>
      <c r="L35" s="1"/>
      <c r="M35" s="1"/>
    </row>
    <row x14ac:dyDescent="0.25" r="36" customHeight="1" ht="15">
      <c r="A36" s="1"/>
      <c r="B36" s="16" t="s">
        <v>72</v>
      </c>
      <c r="C36" s="17">
        <v>300</v>
      </c>
      <c r="D36" s="18">
        <v>16.5</v>
      </c>
      <c r="E36" s="18">
        <v>22</v>
      </c>
      <c r="F36" s="18">
        <f>C36*E36</f>
      </c>
      <c r="G36" s="18">
        <f>(E36-D36)*C36</f>
      </c>
      <c r="H36" s="19"/>
      <c r="I36" s="18">
        <f>C36*D36</f>
      </c>
      <c r="J36" s="44" t="s">
        <v>151</v>
      </c>
      <c r="K36" s="14">
        <v>17</v>
      </c>
      <c r="L36" s="1"/>
      <c r="M36" s="1"/>
    </row>
    <row x14ac:dyDescent="0.25" r="37" customHeight="1" ht="15">
      <c r="A37" s="1"/>
      <c r="B37" s="16" t="s">
        <v>152</v>
      </c>
      <c r="C37" s="17">
        <v>15</v>
      </c>
      <c r="D37" s="18">
        <v>718</v>
      </c>
      <c r="E37" s="18">
        <v>850</v>
      </c>
      <c r="F37" s="18">
        <f>C37*E37</f>
      </c>
      <c r="G37" s="18">
        <f>(E37-D37)*C37</f>
      </c>
      <c r="H37" s="19"/>
      <c r="I37" s="18">
        <f>C37*D37</f>
      </c>
      <c r="J37" s="44" t="s">
        <v>99</v>
      </c>
      <c r="K37" s="14">
        <v>18</v>
      </c>
      <c r="L37" s="1"/>
      <c r="M37" s="1"/>
    </row>
    <row x14ac:dyDescent="0.25" r="38" customHeight="1" ht="15">
      <c r="A38" s="1"/>
      <c r="B38" s="16" t="s">
        <v>153</v>
      </c>
      <c r="C38" s="17">
        <v>1000</v>
      </c>
      <c r="D38" s="18">
        <v>0.329</v>
      </c>
      <c r="E38" s="18">
        <v>0.55</v>
      </c>
      <c r="F38" s="18">
        <f>C38*E38</f>
      </c>
      <c r="G38" s="18">
        <f>(E38-D38)*C38</f>
      </c>
      <c r="H38" s="19"/>
      <c r="I38" s="18">
        <f>C38*D38</f>
      </c>
      <c r="J38" s="44" t="s">
        <v>154</v>
      </c>
      <c r="K38" s="14">
        <v>17</v>
      </c>
      <c r="L38" s="1"/>
      <c r="M38" s="1"/>
    </row>
    <row x14ac:dyDescent="0.25" r="39" customHeight="1" ht="15">
      <c r="A39" s="1"/>
      <c r="B39" s="16" t="s">
        <v>155</v>
      </c>
      <c r="C39" s="17">
        <v>1000</v>
      </c>
      <c r="D39" s="18">
        <v>0.496128</v>
      </c>
      <c r="E39" s="18">
        <v>0.87</v>
      </c>
      <c r="F39" s="18">
        <f>C39*E39</f>
      </c>
      <c r="G39" s="18">
        <f>(E39-D39)*C39</f>
      </c>
      <c r="H39" s="19"/>
      <c r="I39" s="18">
        <f>C39*D39</f>
      </c>
      <c r="J39" s="44" t="s">
        <v>156</v>
      </c>
      <c r="K39" s="14">
        <v>17</v>
      </c>
      <c r="L39" s="1"/>
      <c r="M39" s="1"/>
    </row>
    <row x14ac:dyDescent="0.25" r="40" customHeight="1" ht="15">
      <c r="A40" s="1"/>
      <c r="B40" s="16" t="s">
        <v>157</v>
      </c>
      <c r="C40" s="17">
        <v>900</v>
      </c>
      <c r="D40" s="18">
        <v>1.043</v>
      </c>
      <c r="E40" s="18">
        <v>1.6</v>
      </c>
      <c r="F40" s="18">
        <f>C40*E40</f>
      </c>
      <c r="G40" s="18">
        <f>(E40-D40)*C40</f>
      </c>
      <c r="H40" s="19"/>
      <c r="I40" s="18">
        <f>C40*D40</f>
      </c>
      <c r="J40" s="44" t="s">
        <v>154</v>
      </c>
      <c r="K40" s="14">
        <v>17</v>
      </c>
      <c r="L40" s="1"/>
      <c r="M40" s="1"/>
    </row>
    <row x14ac:dyDescent="0.25" r="41" customHeight="1" ht="15">
      <c r="A41" s="1"/>
      <c r="B41" s="16" t="s">
        <v>157</v>
      </c>
      <c r="C41" s="17">
        <v>100</v>
      </c>
      <c r="D41" s="18">
        <v>0.855</v>
      </c>
      <c r="E41" s="18">
        <v>1.6</v>
      </c>
      <c r="F41" s="18">
        <f>C41*E41</f>
      </c>
      <c r="G41" s="18">
        <f>(E41-D41)*C41</f>
      </c>
      <c r="H41" s="19"/>
      <c r="I41" s="18">
        <f>C41*D41</f>
      </c>
      <c r="J41" s="44" t="s">
        <v>158</v>
      </c>
      <c r="K41" s="14">
        <v>19</v>
      </c>
      <c r="L41" s="1"/>
      <c r="M41" s="1"/>
    </row>
    <row x14ac:dyDescent="0.25" r="42" customHeight="1" ht="15">
      <c r="A42" s="1"/>
      <c r="B42" s="16" t="s">
        <v>159</v>
      </c>
      <c r="C42" s="17">
        <v>1</v>
      </c>
      <c r="D42" s="18">
        <v>826</v>
      </c>
      <c r="E42" s="18">
        <v>1065</v>
      </c>
      <c r="F42" s="18">
        <f>C42*E42</f>
      </c>
      <c r="G42" s="18">
        <f>(E42-D42)*C42</f>
      </c>
      <c r="H42" s="19"/>
      <c r="I42" s="18">
        <f>C42*D42</f>
      </c>
      <c r="J42" s="44" t="s">
        <v>118</v>
      </c>
      <c r="K42" s="14">
        <v>19</v>
      </c>
      <c r="L42" s="1"/>
      <c r="M42" s="1"/>
    </row>
    <row x14ac:dyDescent="0.25" r="43" customHeight="1" ht="15">
      <c r="A43" s="1"/>
      <c r="B43" s="16" t="s">
        <v>160</v>
      </c>
      <c r="C43" s="17">
        <v>1</v>
      </c>
      <c r="D43" s="18">
        <v>7313.82</v>
      </c>
      <c r="E43" s="18">
        <v>9390</v>
      </c>
      <c r="F43" s="18">
        <f>C43*E43</f>
      </c>
      <c r="G43" s="18">
        <f>(E43-D43)*C43</f>
      </c>
      <c r="H43" s="19"/>
      <c r="I43" s="18">
        <f>C43*D43</f>
      </c>
      <c r="J43" s="44" t="s">
        <v>97</v>
      </c>
      <c r="K43" s="14">
        <v>19</v>
      </c>
      <c r="L43" s="1"/>
      <c r="M4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62"/>
  <sheetViews>
    <sheetView workbookViewId="0" tabSelected="1">
      <pane state="frozen" activePane="bottomLeft" topLeftCell="A4" ySplit="3" xSplit="0"/>
    </sheetView>
  </sheetViews>
  <sheetFormatPr defaultRowHeight="15" x14ac:dyDescent="0.25"/>
  <cols>
    <col min="1" max="1" style="37" width="34.14785714285715" customWidth="1" bestFit="1"/>
    <col min="2" max="2" style="38" width="71.86214285714286" customWidth="1" bestFit="1"/>
    <col min="3" max="3" style="39" width="13.005" customWidth="1" bestFit="1"/>
    <col min="4" max="4" style="40" width="14.576428571428572" customWidth="1" bestFit="1"/>
    <col min="5" max="5" style="40" width="14.43357142857143" customWidth="1" bestFit="1"/>
    <col min="6" max="6" style="40" width="15.719285714285713" customWidth="1" bestFit="1"/>
    <col min="7" max="7" style="40" width="16.576428571428572" customWidth="1" bestFit="1"/>
    <col min="8" max="8" style="41" width="11.147857142857141" customWidth="1" bestFit="1"/>
    <col min="9" max="9" style="40" width="17.576428571428572" customWidth="1" bestFit="1"/>
    <col min="10" max="10" style="40" width="28.719285714285714" customWidth="1" bestFit="1"/>
    <col min="11" max="11" style="42" width="4.433571428571429" customWidth="1" bestFit="1"/>
    <col min="12" max="12" style="42" width="20.576428571428572" customWidth="1" bestFit="1"/>
    <col min="13" max="13" style="37" width="23.576428571428572" customWidth="1" bestFit="1"/>
    <col min="14" max="14" style="37" width="32.14785714285715" customWidth="1" bestFit="1"/>
  </cols>
  <sheetData>
    <row x14ac:dyDescent="0.25" r="1" customHeight="1" ht="18.75">
      <c r="A1" s="1"/>
      <c r="B1" s="2"/>
      <c r="C1" s="3"/>
      <c r="D1" s="4" t="s">
        <v>0</v>
      </c>
      <c r="E1" s="5"/>
      <c r="F1" s="5"/>
      <c r="G1" s="5"/>
      <c r="H1" s="6"/>
      <c r="I1" s="5"/>
      <c r="J1" s="5"/>
      <c r="K1" s="5"/>
      <c r="L1" s="5"/>
      <c r="M1" s="1"/>
      <c r="N1" s="1"/>
    </row>
    <row x14ac:dyDescent="0.25" r="2" customHeight="1" ht="18.75">
      <c r="A2" s="1"/>
      <c r="B2" s="2"/>
      <c r="C2" s="3"/>
      <c r="D2" s="5"/>
      <c r="E2" s="5"/>
      <c r="F2" s="5"/>
      <c r="G2" s="5"/>
      <c r="H2" s="6"/>
      <c r="I2" s="5"/>
      <c r="J2" s="5"/>
      <c r="K2" s="5"/>
      <c r="L2" s="5"/>
      <c r="M2" s="1"/>
      <c r="N2" s="1"/>
    </row>
    <row x14ac:dyDescent="0.25" r="3" customHeight="1" ht="18.75">
      <c r="A3" s="7" t="s">
        <v>1</v>
      </c>
      <c r="B3" s="8" t="s">
        <v>2</v>
      </c>
      <c r="C3" s="9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7" t="s">
        <v>8</v>
      </c>
      <c r="I3" s="10" t="s">
        <v>9</v>
      </c>
      <c r="J3" s="11" t="s">
        <v>10</v>
      </c>
      <c r="K3" s="10"/>
      <c r="L3" s="5"/>
      <c r="M3" s="1"/>
      <c r="N3" s="1"/>
    </row>
    <row x14ac:dyDescent="0.25" r="4" customHeight="1" ht="18.75">
      <c r="A4" s="1" t="s">
        <v>11</v>
      </c>
      <c r="B4" s="12" t="s">
        <v>12</v>
      </c>
      <c r="C4" s="13" t="s">
        <v>13</v>
      </c>
      <c r="D4" s="14"/>
      <c r="E4" s="15" t="s">
        <v>13</v>
      </c>
      <c r="F4" s="14">
        <f>SUM(F5:F7)</f>
      </c>
      <c r="G4" s="14">
        <f>SUM(G5:G7)</f>
      </c>
      <c r="H4" s="6" t="s">
        <v>14</v>
      </c>
      <c r="I4" s="14">
        <f>SUM(I5:I7)</f>
      </c>
      <c r="J4" s="5"/>
      <c r="K4" s="5"/>
      <c r="L4" s="5"/>
      <c r="M4" s="1"/>
      <c r="N4" s="1"/>
    </row>
    <row x14ac:dyDescent="0.25" r="5" customHeight="1" ht="19.5">
      <c r="A5" s="1"/>
      <c r="B5" s="16" t="s">
        <v>15</v>
      </c>
      <c r="C5" s="17">
        <v>5</v>
      </c>
      <c r="D5" s="18">
        <v>1204.02</v>
      </c>
      <c r="E5" s="18">
        <v>1389</v>
      </c>
      <c r="F5" s="18">
        <f>C5*E5</f>
      </c>
      <c r="G5" s="18">
        <f>(E5-D5)*C5</f>
      </c>
      <c r="H5" s="19"/>
      <c r="I5" s="18">
        <f>C5*D5</f>
      </c>
      <c r="J5" s="20" t="s">
        <v>16</v>
      </c>
      <c r="K5" s="14">
        <v>3</v>
      </c>
      <c r="L5" s="5"/>
      <c r="M5" s="1"/>
      <c r="N5" s="1"/>
    </row>
    <row x14ac:dyDescent="0.25" r="6" customHeight="1" ht="19.5">
      <c r="A6" s="1"/>
      <c r="B6" s="16" t="s">
        <v>17</v>
      </c>
      <c r="C6" s="17">
        <v>2</v>
      </c>
      <c r="D6" s="18">
        <v>190</v>
      </c>
      <c r="E6" s="18">
        <v>198</v>
      </c>
      <c r="F6" s="18">
        <f>C6*E6</f>
      </c>
      <c r="G6" s="18">
        <f>(E6-D6)*C6</f>
      </c>
      <c r="H6" s="19"/>
      <c r="I6" s="18">
        <f>C6*D6</f>
      </c>
      <c r="J6" s="20" t="s">
        <v>18</v>
      </c>
      <c r="K6" s="14">
        <v>3</v>
      </c>
      <c r="L6" s="5"/>
      <c r="M6" s="1"/>
      <c r="N6" s="1"/>
    </row>
    <row x14ac:dyDescent="0.25" r="7" customHeight="1" ht="20.25">
      <c r="A7" s="1"/>
      <c r="B7" s="16" t="s">
        <v>19</v>
      </c>
      <c r="C7" s="17">
        <v>1</v>
      </c>
      <c r="D7" s="18">
        <v>1400</v>
      </c>
      <c r="E7" s="18">
        <v>1400</v>
      </c>
      <c r="F7" s="18">
        <f>C7*E7</f>
      </c>
      <c r="G7" s="18">
        <f>(E7-D7)*C7</f>
      </c>
      <c r="H7" s="19"/>
      <c r="I7" s="18">
        <f>C7*D7</f>
      </c>
      <c r="J7" s="20" t="s">
        <v>20</v>
      </c>
      <c r="K7" s="14">
        <v>3</v>
      </c>
      <c r="L7" s="5"/>
      <c r="M7" s="1"/>
      <c r="N7" s="1"/>
    </row>
    <row x14ac:dyDescent="0.25" r="8" customHeight="1" ht="18.75">
      <c r="A8" s="1" t="s">
        <v>21</v>
      </c>
      <c r="B8" s="12" t="s">
        <v>22</v>
      </c>
      <c r="C8" s="13" t="s">
        <v>13</v>
      </c>
      <c r="D8" s="14"/>
      <c r="E8" s="15" t="s">
        <v>13</v>
      </c>
      <c r="F8" s="14">
        <f>SUM(F9:F9)</f>
      </c>
      <c r="G8" s="14">
        <f>SUM(G9:G9)</f>
      </c>
      <c r="H8" s="6" t="s">
        <v>23</v>
      </c>
      <c r="I8" s="14">
        <f>SUM(I9:I9)</f>
      </c>
      <c r="J8" s="5"/>
      <c r="K8" s="5"/>
      <c r="L8" s="5"/>
      <c r="M8" s="1"/>
      <c r="N8" s="1"/>
    </row>
    <row x14ac:dyDescent="0.25" r="9" customHeight="1" ht="20.25">
      <c r="A9" s="1"/>
      <c r="B9" s="16" t="s">
        <v>24</v>
      </c>
      <c r="C9" s="17">
        <v>5</v>
      </c>
      <c r="D9" s="18">
        <v>13240</v>
      </c>
      <c r="E9" s="18">
        <v>14990</v>
      </c>
      <c r="F9" s="18">
        <f>C9*E9</f>
      </c>
      <c r="G9" s="18">
        <f>(E9-D9)*C9</f>
      </c>
      <c r="H9" s="19"/>
      <c r="I9" s="18">
        <f>C9*D9</f>
      </c>
      <c r="J9" s="20" t="s">
        <v>25</v>
      </c>
      <c r="K9" s="14">
        <v>3</v>
      </c>
      <c r="L9" s="5"/>
      <c r="M9" s="1"/>
      <c r="N9" s="1"/>
    </row>
    <row x14ac:dyDescent="0.25" r="10" customHeight="1" ht="18.75">
      <c r="A10" s="1" t="s">
        <v>26</v>
      </c>
      <c r="B10" s="12" t="s">
        <v>27</v>
      </c>
      <c r="C10" s="13" t="s">
        <v>13</v>
      </c>
      <c r="D10" s="14"/>
      <c r="E10" s="15" t="s">
        <v>13</v>
      </c>
      <c r="F10" s="14">
        <f>SUM(F11:F12)</f>
      </c>
      <c r="G10" s="14">
        <f>SUM(G11:G12)</f>
      </c>
      <c r="H10" s="6" t="s">
        <v>23</v>
      </c>
      <c r="I10" s="14">
        <f>SUM(I11:I12)</f>
      </c>
      <c r="J10" s="5"/>
      <c r="K10" s="5"/>
      <c r="L10" s="5"/>
      <c r="M10" s="1"/>
      <c r="N10" s="1"/>
    </row>
    <row x14ac:dyDescent="0.25" r="11" customHeight="1" ht="19.5">
      <c r="A11" s="1"/>
      <c r="B11" s="16" t="s">
        <v>28</v>
      </c>
      <c r="C11" s="17">
        <v>3</v>
      </c>
      <c r="D11" s="18">
        <v>217.12</v>
      </c>
      <c r="E11" s="18">
        <v>238</v>
      </c>
      <c r="F11" s="18">
        <f>C11*E11</f>
      </c>
      <c r="G11" s="18">
        <f>(E11-D11)*C11</f>
      </c>
      <c r="H11" s="19"/>
      <c r="I11" s="18">
        <f>C11*D11</f>
      </c>
      <c r="J11" s="20" t="s">
        <v>29</v>
      </c>
      <c r="K11" s="14">
        <v>2</v>
      </c>
      <c r="L11" s="5"/>
      <c r="M11" s="1"/>
      <c r="N11" s="1"/>
    </row>
    <row x14ac:dyDescent="0.25" r="12" customHeight="1" ht="20.25">
      <c r="A12" s="1"/>
      <c r="B12" s="16" t="s">
        <v>30</v>
      </c>
      <c r="C12" s="17">
        <v>3</v>
      </c>
      <c r="D12" s="18">
        <v>1450.56</v>
      </c>
      <c r="E12" s="18">
        <v>2006</v>
      </c>
      <c r="F12" s="18">
        <f>C12*E12</f>
      </c>
      <c r="G12" s="18">
        <f>(E12-D12)*C12</f>
      </c>
      <c r="H12" s="19"/>
      <c r="I12" s="18">
        <f>C12*D12</f>
      </c>
      <c r="J12" s="20" t="s">
        <v>16</v>
      </c>
      <c r="K12" s="14">
        <v>3</v>
      </c>
      <c r="L12" s="5"/>
      <c r="M12" s="1"/>
      <c r="N12" s="1"/>
    </row>
    <row x14ac:dyDescent="0.25" r="13" customHeight="1" ht="18.75">
      <c r="A13" s="1" t="s">
        <v>31</v>
      </c>
      <c r="B13" s="12" t="s">
        <v>32</v>
      </c>
      <c r="C13" s="13" t="s">
        <v>13</v>
      </c>
      <c r="D13" s="14"/>
      <c r="E13" s="15" t="s">
        <v>13</v>
      </c>
      <c r="F13" s="14">
        <f>SUM(F14:F20)</f>
      </c>
      <c r="G13" s="14">
        <f>SUM(G14:G20)</f>
      </c>
      <c r="H13" s="6" t="s">
        <v>23</v>
      </c>
      <c r="I13" s="14">
        <f>SUM(I14:I20)</f>
      </c>
      <c r="J13" s="5"/>
      <c r="K13" s="5"/>
      <c r="L13" s="5"/>
      <c r="M13" s="1"/>
      <c r="N13" s="1"/>
    </row>
    <row x14ac:dyDescent="0.25" r="14" customHeight="1" ht="19.5">
      <c r="A14" s="1"/>
      <c r="B14" s="16" t="s">
        <v>33</v>
      </c>
      <c r="C14" s="17">
        <v>5</v>
      </c>
      <c r="D14" s="18">
        <f>10.4*10</f>
      </c>
      <c r="E14" s="18">
        <v>120</v>
      </c>
      <c r="F14" s="18">
        <f>C14*E14</f>
      </c>
      <c r="G14" s="18">
        <f>(E14-D14)*C14</f>
      </c>
      <c r="H14" s="19"/>
      <c r="I14" s="18">
        <f>C14*D14</f>
      </c>
      <c r="J14" s="20" t="s">
        <v>34</v>
      </c>
      <c r="K14" s="14">
        <v>3</v>
      </c>
      <c r="L14" s="5"/>
      <c r="M14" s="1"/>
      <c r="N14" s="1"/>
    </row>
    <row x14ac:dyDescent="0.25" r="15" customHeight="1" ht="19.5">
      <c r="A15" s="1"/>
      <c r="B15" s="16" t="s">
        <v>35</v>
      </c>
      <c r="C15" s="17">
        <v>10</v>
      </c>
      <c r="D15" s="18">
        <v>335.92</v>
      </c>
      <c r="E15" s="18">
        <v>385</v>
      </c>
      <c r="F15" s="18">
        <f>C15*E15</f>
      </c>
      <c r="G15" s="18">
        <f>(E15-D15)*C15</f>
      </c>
      <c r="H15" s="19"/>
      <c r="I15" s="18">
        <f>C15*D15</f>
      </c>
      <c r="J15" s="20" t="s">
        <v>36</v>
      </c>
      <c r="K15" s="14">
        <v>4</v>
      </c>
      <c r="L15" s="5"/>
      <c r="M15" s="1"/>
      <c r="N15" s="1"/>
    </row>
    <row x14ac:dyDescent="0.25" r="16" customHeight="1" ht="19.5">
      <c r="A16" s="1"/>
      <c r="B16" s="16" t="s">
        <v>37</v>
      </c>
      <c r="C16" s="17">
        <v>2</v>
      </c>
      <c r="D16" s="18">
        <v>20.24</v>
      </c>
      <c r="E16" s="18">
        <v>25</v>
      </c>
      <c r="F16" s="18">
        <f>C16*E16</f>
      </c>
      <c r="G16" s="18">
        <f>(E16-D16)*C16</f>
      </c>
      <c r="H16" s="19"/>
      <c r="I16" s="18">
        <f>C16*D16</f>
      </c>
      <c r="J16" s="20" t="s">
        <v>29</v>
      </c>
      <c r="K16" s="14">
        <v>3</v>
      </c>
      <c r="L16" s="5"/>
      <c r="M16" s="1"/>
      <c r="N16" s="1"/>
    </row>
    <row x14ac:dyDescent="0.25" r="17" customHeight="1" ht="19.5">
      <c r="A17" s="1"/>
      <c r="B17" s="16" t="s">
        <v>38</v>
      </c>
      <c r="C17" s="17">
        <v>2</v>
      </c>
      <c r="D17" s="18">
        <v>7.27</v>
      </c>
      <c r="E17" s="18">
        <v>9.9</v>
      </c>
      <c r="F17" s="18">
        <f>C17*E17</f>
      </c>
      <c r="G17" s="18">
        <f>(E17-D17)*C17</f>
      </c>
      <c r="H17" s="19"/>
      <c r="I17" s="18">
        <f>C17*D17</f>
      </c>
      <c r="J17" s="20" t="s">
        <v>36</v>
      </c>
      <c r="K17" s="14">
        <v>4</v>
      </c>
      <c r="L17" s="5"/>
      <c r="M17" s="1"/>
      <c r="N17" s="1"/>
    </row>
    <row x14ac:dyDescent="0.25" r="18" customHeight="1" ht="19.5">
      <c r="A18" s="1"/>
      <c r="B18" s="16" t="s">
        <v>39</v>
      </c>
      <c r="C18" s="17">
        <v>10</v>
      </c>
      <c r="D18" s="18">
        <v>37.26</v>
      </c>
      <c r="E18" s="18">
        <v>55</v>
      </c>
      <c r="F18" s="18">
        <f>C18*E18</f>
      </c>
      <c r="G18" s="18">
        <f>(E18-D18)*C18</f>
      </c>
      <c r="H18" s="19"/>
      <c r="I18" s="18">
        <f>C18*D18</f>
      </c>
      <c r="J18" s="20" t="s">
        <v>16</v>
      </c>
      <c r="K18" s="14">
        <v>3</v>
      </c>
      <c r="L18" s="5"/>
      <c r="M18" s="1"/>
      <c r="N18" s="1"/>
    </row>
    <row x14ac:dyDescent="0.25" r="19" customHeight="1" ht="19.5">
      <c r="A19" s="1"/>
      <c r="B19" s="16" t="s">
        <v>40</v>
      </c>
      <c r="C19" s="17">
        <v>5</v>
      </c>
      <c r="D19" s="18">
        <v>300</v>
      </c>
      <c r="E19" s="18">
        <v>452.2</v>
      </c>
      <c r="F19" s="18">
        <f>C19*E19</f>
      </c>
      <c r="G19" s="18">
        <f>(E19-D19)*C19</f>
      </c>
      <c r="H19" s="19"/>
      <c r="I19" s="18">
        <f>C19*D19</f>
      </c>
      <c r="J19" s="20" t="s">
        <v>41</v>
      </c>
      <c r="K19" s="14">
        <v>3</v>
      </c>
      <c r="L19" s="5"/>
      <c r="M19" s="1"/>
      <c r="N19" s="1"/>
    </row>
    <row x14ac:dyDescent="0.25" r="20" customHeight="1" ht="20.25">
      <c r="A20" s="1"/>
      <c r="B20" s="16" t="s">
        <v>42</v>
      </c>
      <c r="C20" s="17">
        <v>66</v>
      </c>
      <c r="D20" s="18">
        <f>1700/6.6*1.2</f>
      </c>
      <c r="E20" s="18">
        <v>366</v>
      </c>
      <c r="F20" s="18">
        <f>C20*E20</f>
      </c>
      <c r="G20" s="18">
        <f>(E20-D20)*C20</f>
      </c>
      <c r="H20" s="19"/>
      <c r="I20" s="18">
        <f>C20*D20</f>
      </c>
      <c r="J20" s="20" t="s">
        <v>43</v>
      </c>
      <c r="K20" s="14">
        <v>3</v>
      </c>
      <c r="L20" s="5"/>
      <c r="M20" s="1"/>
      <c r="N20" s="1"/>
    </row>
    <row x14ac:dyDescent="0.25" r="21" customHeight="1" ht="18.75">
      <c r="A21" s="1" t="s">
        <v>44</v>
      </c>
      <c r="B21" s="12" t="s">
        <v>45</v>
      </c>
      <c r="C21" s="13" t="s">
        <v>13</v>
      </c>
      <c r="D21" s="14"/>
      <c r="E21" s="15" t="s">
        <v>13</v>
      </c>
      <c r="F21" s="14">
        <f>SUM(F22:F22)</f>
      </c>
      <c r="G21" s="14">
        <f>SUM(G22:G22)</f>
      </c>
      <c r="H21" s="6" t="s">
        <v>23</v>
      </c>
      <c r="I21" s="14">
        <f>SUM(I22:I22)</f>
      </c>
      <c r="J21" s="5"/>
      <c r="K21" s="5"/>
      <c r="L21" s="5"/>
      <c r="M21" s="1"/>
      <c r="N21" s="1"/>
    </row>
    <row x14ac:dyDescent="0.25" r="22" customHeight="1" ht="20.25">
      <c r="A22" s="1"/>
      <c r="B22" s="16" t="s">
        <v>46</v>
      </c>
      <c r="C22" s="17">
        <v>1</v>
      </c>
      <c r="D22" s="18">
        <v>1454.42</v>
      </c>
      <c r="E22" s="18">
        <v>1890</v>
      </c>
      <c r="F22" s="18">
        <f>C22*E22</f>
      </c>
      <c r="G22" s="18">
        <f>(E22-D22)*C22</f>
      </c>
      <c r="H22" s="19"/>
      <c r="I22" s="18">
        <f>C22*D22</f>
      </c>
      <c r="J22" s="20" t="s">
        <v>47</v>
      </c>
      <c r="K22" s="14">
        <v>2</v>
      </c>
      <c r="L22" s="5"/>
      <c r="M22" s="1"/>
      <c r="N22" s="1"/>
    </row>
    <row x14ac:dyDescent="0.25" r="23" customHeight="1" ht="18.75">
      <c r="A23" s="1" t="s">
        <v>48</v>
      </c>
      <c r="B23" s="12" t="s">
        <v>49</v>
      </c>
      <c r="C23" s="13" t="s">
        <v>13</v>
      </c>
      <c r="D23" s="14"/>
      <c r="E23" s="15" t="s">
        <v>13</v>
      </c>
      <c r="F23" s="14">
        <f>SUM(F24:F25)</f>
      </c>
      <c r="G23" s="14">
        <f>SUM(G24:G25)</f>
      </c>
      <c r="H23" s="6" t="s">
        <v>23</v>
      </c>
      <c r="I23" s="14">
        <f>SUM(I24:I25)</f>
      </c>
      <c r="J23" s="5"/>
      <c r="K23" s="5"/>
      <c r="L23" s="5"/>
      <c r="M23" s="1"/>
      <c r="N23" s="1"/>
    </row>
    <row x14ac:dyDescent="0.25" r="24" customHeight="1" ht="19.5">
      <c r="A24" s="1"/>
      <c r="B24" s="16" t="s">
        <v>50</v>
      </c>
      <c r="C24" s="17">
        <v>540</v>
      </c>
      <c r="D24" s="18">
        <v>51.61</v>
      </c>
      <c r="E24" s="18">
        <v>90</v>
      </c>
      <c r="F24" s="18">
        <f>C24*E24</f>
      </c>
      <c r="G24" s="18">
        <f>(E24-D24)*C24</f>
      </c>
      <c r="H24" s="19"/>
      <c r="I24" s="18">
        <f>C24*D24</f>
      </c>
      <c r="J24" s="20" t="s">
        <v>51</v>
      </c>
      <c r="K24" s="21" t="s">
        <v>52</v>
      </c>
      <c r="L24" s="14">
        <v>3</v>
      </c>
      <c r="M24" s="1"/>
      <c r="N24" s="1"/>
    </row>
    <row x14ac:dyDescent="0.25" r="25" customHeight="1" ht="20.25">
      <c r="A25" s="1"/>
      <c r="B25" s="16" t="s">
        <v>53</v>
      </c>
      <c r="C25" s="17">
        <v>30</v>
      </c>
      <c r="D25" s="18">
        <v>69.56</v>
      </c>
      <c r="E25" s="18">
        <v>78</v>
      </c>
      <c r="F25" s="18">
        <f>C25*E25</f>
      </c>
      <c r="G25" s="18">
        <f>(E25-D25)*C25</f>
      </c>
      <c r="H25" s="19"/>
      <c r="I25" s="18">
        <f>C25*D25</f>
      </c>
      <c r="J25" s="20" t="s">
        <v>54</v>
      </c>
      <c r="K25" s="14">
        <v>2</v>
      </c>
      <c r="L25" s="5"/>
      <c r="M25" s="1"/>
      <c r="N25" s="1"/>
    </row>
    <row x14ac:dyDescent="0.25" r="26" customHeight="1" ht="19.5">
      <c r="A26" s="1" t="s">
        <v>55</v>
      </c>
      <c r="B26" s="12" t="s">
        <v>56</v>
      </c>
      <c r="C26" s="13" t="s">
        <v>13</v>
      </c>
      <c r="D26" s="14"/>
      <c r="E26" s="15" t="s">
        <v>13</v>
      </c>
      <c r="F26" s="14">
        <f>SUM(F27:F38)</f>
      </c>
      <c r="G26" s="14">
        <f>SUM(G27:G38)</f>
      </c>
      <c r="H26" s="6" t="s">
        <v>23</v>
      </c>
      <c r="I26" s="14">
        <f>SUM(I27:I38)</f>
      </c>
      <c r="J26" s="14">
        <v>451.98</v>
      </c>
      <c r="K26" s="14">
        <v>2</v>
      </c>
      <c r="L26" s="21" t="s">
        <v>57</v>
      </c>
      <c r="M26" s="1"/>
      <c r="N26" s="1"/>
    </row>
    <row x14ac:dyDescent="0.25" r="27" customHeight="1" ht="19.5">
      <c r="A27" s="1"/>
      <c r="B27" s="16" t="s">
        <v>58</v>
      </c>
      <c r="C27" s="17">
        <v>500</v>
      </c>
      <c r="D27" s="18">
        <v>1.4</v>
      </c>
      <c r="E27" s="18">
        <v>1.9</v>
      </c>
      <c r="F27" s="18">
        <f>C27*E27</f>
      </c>
      <c r="G27" s="18">
        <f>(E27-D27)*C27</f>
      </c>
      <c r="H27" s="19"/>
      <c r="I27" s="18">
        <f>C27*D27</f>
      </c>
      <c r="J27" s="20" t="s">
        <v>59</v>
      </c>
      <c r="K27" s="14">
        <v>3</v>
      </c>
      <c r="L27" s="5"/>
      <c r="M27" s="1"/>
      <c r="N27" s="1"/>
    </row>
    <row x14ac:dyDescent="0.25" r="28" customHeight="1" ht="19.5">
      <c r="A28" s="1"/>
      <c r="B28" s="16" t="s">
        <v>60</v>
      </c>
      <c r="C28" s="17">
        <v>500</v>
      </c>
      <c r="D28" s="18">
        <v>2</v>
      </c>
      <c r="E28" s="18">
        <v>2.4</v>
      </c>
      <c r="F28" s="18">
        <f>C28*E28</f>
      </c>
      <c r="G28" s="18">
        <f>(E28-D28)*C28</f>
      </c>
      <c r="H28" s="19"/>
      <c r="I28" s="18">
        <f>C28*D28</f>
      </c>
      <c r="J28" s="20" t="s">
        <v>59</v>
      </c>
      <c r="K28" s="14">
        <v>3</v>
      </c>
      <c r="L28" s="5"/>
      <c r="M28" s="1"/>
      <c r="N28" s="1"/>
    </row>
    <row x14ac:dyDescent="0.25" r="29" customHeight="1" ht="19.5">
      <c r="A29" s="1"/>
      <c r="B29" s="16" t="s">
        <v>61</v>
      </c>
      <c r="C29" s="17">
        <v>500</v>
      </c>
      <c r="D29" s="18">
        <v>0.54609</v>
      </c>
      <c r="E29" s="18">
        <v>0.74</v>
      </c>
      <c r="F29" s="18">
        <f>C29*E29</f>
      </c>
      <c r="G29" s="18">
        <f>(E29-D29)*C29</f>
      </c>
      <c r="H29" s="19"/>
      <c r="I29" s="18">
        <f>C29*D29</f>
      </c>
      <c r="J29" s="20" t="s">
        <v>62</v>
      </c>
      <c r="K29" s="14">
        <v>3</v>
      </c>
      <c r="L29" s="5"/>
      <c r="M29" s="1"/>
      <c r="N29" s="1"/>
    </row>
    <row x14ac:dyDescent="0.25" r="30" customHeight="1" ht="19.5">
      <c r="A30" s="1"/>
      <c r="B30" s="16" t="s">
        <v>63</v>
      </c>
      <c r="C30" s="17">
        <v>4</v>
      </c>
      <c r="D30" s="18">
        <v>92.2</v>
      </c>
      <c r="E30" s="18">
        <v>135</v>
      </c>
      <c r="F30" s="18">
        <f>C30*E30</f>
      </c>
      <c r="G30" s="18">
        <f>(E30-D30)*C30</f>
      </c>
      <c r="H30" s="19"/>
      <c r="I30" s="18">
        <f>C30*D30</f>
      </c>
      <c r="J30" s="20" t="s">
        <v>64</v>
      </c>
      <c r="K30" s="14">
        <v>2</v>
      </c>
      <c r="L30" s="5"/>
      <c r="M30" s="1"/>
      <c r="N30" s="1"/>
    </row>
    <row x14ac:dyDescent="0.25" r="31" customHeight="1" ht="19.5">
      <c r="A31" s="1"/>
      <c r="B31" s="16" t="s">
        <v>65</v>
      </c>
      <c r="C31" s="17">
        <v>30</v>
      </c>
      <c r="D31" s="18">
        <v>17.49</v>
      </c>
      <c r="E31" s="18">
        <v>22</v>
      </c>
      <c r="F31" s="18">
        <f>C31*E31</f>
      </c>
      <c r="G31" s="18">
        <f>(E31-D31)*C31</f>
      </c>
      <c r="H31" s="19"/>
      <c r="I31" s="18">
        <f>C31*D31</f>
      </c>
      <c r="J31" s="20" t="s">
        <v>66</v>
      </c>
      <c r="K31" s="14">
        <v>2</v>
      </c>
      <c r="L31" s="5"/>
      <c r="M31" s="1"/>
      <c r="N31" s="1"/>
    </row>
    <row x14ac:dyDescent="0.25" r="32" customHeight="1" ht="19.5">
      <c r="A32" s="1"/>
      <c r="B32" s="16" t="s">
        <v>67</v>
      </c>
      <c r="C32" s="17">
        <v>10</v>
      </c>
      <c r="D32" s="18">
        <f>142.36/5</f>
      </c>
      <c r="E32" s="18">
        <v>40</v>
      </c>
      <c r="F32" s="18">
        <f>C32*E32</f>
      </c>
      <c r="G32" s="18">
        <f>(E32-D32)*C32</f>
      </c>
      <c r="H32" s="19"/>
      <c r="I32" s="18">
        <f>C32*D32</f>
      </c>
      <c r="J32" s="20" t="s">
        <v>36</v>
      </c>
      <c r="K32" s="14">
        <v>4</v>
      </c>
      <c r="L32" s="5"/>
      <c r="M32" s="1"/>
      <c r="N32" s="1"/>
    </row>
    <row x14ac:dyDescent="0.25" r="33" customHeight="1" ht="19.5">
      <c r="A33" s="1"/>
      <c r="B33" s="22" t="s">
        <v>50</v>
      </c>
      <c r="C33" s="23">
        <v>2</v>
      </c>
      <c r="D33" s="24">
        <v>54.33</v>
      </c>
      <c r="E33" s="24"/>
      <c r="F33" s="24">
        <f>C33*E33</f>
      </c>
      <c r="G33" s="24">
        <f>(E33-D33)*C33</f>
      </c>
      <c r="H33" s="25"/>
      <c r="I33" s="24">
        <f>C33*D33</f>
      </c>
      <c r="J33" s="26" t="s">
        <v>47</v>
      </c>
      <c r="K33" s="14">
        <v>2</v>
      </c>
      <c r="L33" s="27" t="s">
        <v>68</v>
      </c>
      <c r="M33" s="28" t="s">
        <v>69</v>
      </c>
      <c r="N33" s="28"/>
    </row>
    <row x14ac:dyDescent="0.25" r="34" customHeight="1" ht="19.5">
      <c r="A34" s="1"/>
      <c r="B34" s="29" t="s">
        <v>70</v>
      </c>
      <c r="C34" s="30">
        <v>2</v>
      </c>
      <c r="D34" s="31">
        <v>352</v>
      </c>
      <c r="E34" s="31">
        <v>530</v>
      </c>
      <c r="F34" s="31">
        <f>C34*E34</f>
      </c>
      <c r="G34" s="31">
        <f>(E34-D34)*C34</f>
      </c>
      <c r="H34" s="32"/>
      <c r="I34" s="31">
        <f>C34*D34</f>
      </c>
      <c r="J34" s="20" t="s">
        <v>71</v>
      </c>
      <c r="K34" s="33">
        <v>5</v>
      </c>
      <c r="L34" s="34"/>
      <c r="M34" s="35"/>
      <c r="N34" s="35"/>
    </row>
    <row x14ac:dyDescent="0.25" r="35" customHeight="1" ht="19.5">
      <c r="A35" s="1"/>
      <c r="B35" s="16" t="s">
        <v>72</v>
      </c>
      <c r="C35" s="17">
        <v>200</v>
      </c>
      <c r="D35" s="18">
        <v>16.5</v>
      </c>
      <c r="E35" s="18">
        <v>24</v>
      </c>
      <c r="F35" s="18">
        <f>C35*E35</f>
      </c>
      <c r="G35" s="18">
        <f>(E35-D35)*C35</f>
      </c>
      <c r="H35" s="19"/>
      <c r="I35" s="18">
        <f>C35*D35</f>
      </c>
      <c r="J35" s="20" t="s">
        <v>73</v>
      </c>
      <c r="K35" s="14">
        <v>3</v>
      </c>
      <c r="L35" s="5"/>
      <c r="M35" s="1"/>
      <c r="N35" s="1"/>
    </row>
    <row x14ac:dyDescent="0.25" r="36" customHeight="1" ht="19.5">
      <c r="A36" s="1"/>
      <c r="B36" s="16" t="s">
        <v>74</v>
      </c>
      <c r="C36" s="17">
        <v>1</v>
      </c>
      <c r="D36" s="18">
        <v>216.2</v>
      </c>
      <c r="E36" s="18">
        <v>436</v>
      </c>
      <c r="F36" s="18">
        <f>C36*E36</f>
      </c>
      <c r="G36" s="18">
        <f>(E36-D36)*C36</f>
      </c>
      <c r="H36" s="19"/>
      <c r="I36" s="18">
        <f>C36*D36</f>
      </c>
      <c r="J36" s="20" t="s">
        <v>64</v>
      </c>
      <c r="K36" s="14">
        <v>3</v>
      </c>
      <c r="L36" s="5"/>
      <c r="M36" s="1"/>
      <c r="N36" s="1"/>
    </row>
    <row x14ac:dyDescent="0.25" r="37" customHeight="1" ht="19.5">
      <c r="A37" s="1"/>
      <c r="B37" s="16" t="s">
        <v>75</v>
      </c>
      <c r="C37" s="17">
        <v>5</v>
      </c>
      <c r="D37" s="18">
        <v>148</v>
      </c>
      <c r="E37" s="18">
        <v>170</v>
      </c>
      <c r="F37" s="18">
        <f>C37*E37</f>
      </c>
      <c r="G37" s="18">
        <f>(E37-D37)*C37</f>
      </c>
      <c r="H37" s="19"/>
      <c r="I37" s="18">
        <f>C37*D37</f>
      </c>
      <c r="J37" s="20" t="s">
        <v>18</v>
      </c>
      <c r="K37" s="14">
        <v>3</v>
      </c>
      <c r="L37" s="5"/>
      <c r="M37" s="1"/>
      <c r="N37" s="1"/>
    </row>
    <row x14ac:dyDescent="0.25" r="38" customHeight="1" ht="20.25">
      <c r="A38" s="1"/>
      <c r="B38" s="16" t="s">
        <v>76</v>
      </c>
      <c r="C38" s="17">
        <v>20</v>
      </c>
      <c r="D38" s="18">
        <v>159</v>
      </c>
      <c r="E38" s="18">
        <v>190</v>
      </c>
      <c r="F38" s="18">
        <f>C38*E38</f>
      </c>
      <c r="G38" s="18">
        <f>(E38-D38)*C38</f>
      </c>
      <c r="H38" s="19"/>
      <c r="I38" s="18">
        <f>C38*D38</f>
      </c>
      <c r="J38" s="20" t="s">
        <v>18</v>
      </c>
      <c r="K38" s="14">
        <v>3</v>
      </c>
      <c r="L38" s="5"/>
      <c r="M38" s="1"/>
      <c r="N38" s="1"/>
    </row>
    <row x14ac:dyDescent="0.25" r="39" customHeight="1" ht="18.75">
      <c r="A39" s="1" t="s">
        <v>77</v>
      </c>
      <c r="B39" s="12" t="s">
        <v>78</v>
      </c>
      <c r="C39" s="13" t="s">
        <v>13</v>
      </c>
      <c r="D39" s="14"/>
      <c r="E39" s="15" t="s">
        <v>13</v>
      </c>
      <c r="F39" s="14">
        <f>SUM(F40:F44)</f>
      </c>
      <c r="G39" s="14">
        <f>SUM(G40:G44)</f>
      </c>
      <c r="H39" s="6" t="s">
        <v>23</v>
      </c>
      <c r="I39" s="14">
        <f>SUM(I40:I44)</f>
      </c>
      <c r="J39" s="5"/>
      <c r="K39" s="5"/>
      <c r="L39" s="5"/>
      <c r="M39" s="1"/>
      <c r="N39" s="1"/>
    </row>
    <row x14ac:dyDescent="0.25" r="40" customHeight="1" ht="19.5">
      <c r="A40" s="1"/>
      <c r="B40" s="16" t="s">
        <v>79</v>
      </c>
      <c r="C40" s="17">
        <v>50</v>
      </c>
      <c r="D40" s="18">
        <v>85</v>
      </c>
      <c r="E40" s="18">
        <v>155</v>
      </c>
      <c r="F40" s="18">
        <f>C40*E40</f>
      </c>
      <c r="G40" s="18">
        <f>(E40-D40)*C40</f>
      </c>
      <c r="H40" s="19"/>
      <c r="I40" s="18">
        <f>C40*D40</f>
      </c>
      <c r="J40" s="20" t="s">
        <v>80</v>
      </c>
      <c r="K40" s="14">
        <v>2</v>
      </c>
      <c r="L40" s="21" t="s">
        <v>81</v>
      </c>
      <c r="M40" s="1"/>
      <c r="N40" s="1"/>
    </row>
    <row x14ac:dyDescent="0.25" r="41" customHeight="1" ht="19.5">
      <c r="A41" s="1"/>
      <c r="B41" s="16" t="s">
        <v>82</v>
      </c>
      <c r="C41" s="17">
        <v>100</v>
      </c>
      <c r="D41" s="18">
        <v>16.49</v>
      </c>
      <c r="E41" s="18">
        <v>17.85</v>
      </c>
      <c r="F41" s="18">
        <f>C41*E41</f>
      </c>
      <c r="G41" s="18">
        <f>(E41-D41)*C41</f>
      </c>
      <c r="H41" s="19"/>
      <c r="I41" s="18">
        <f>C41*D41</f>
      </c>
      <c r="J41" s="20" t="s">
        <v>66</v>
      </c>
      <c r="K41" s="14">
        <v>3</v>
      </c>
      <c r="L41" s="5"/>
      <c r="M41" s="1"/>
      <c r="N41" s="1"/>
    </row>
    <row x14ac:dyDescent="0.25" r="42" customHeight="1" ht="19.5">
      <c r="A42" s="1"/>
      <c r="B42" s="16" t="s">
        <v>83</v>
      </c>
      <c r="C42" s="17">
        <v>5</v>
      </c>
      <c r="D42" s="18">
        <v>66.84</v>
      </c>
      <c r="E42" s="18">
        <v>105</v>
      </c>
      <c r="F42" s="18">
        <f>C42*E42</f>
      </c>
      <c r="G42" s="18">
        <f>(E42-D42)*C42</f>
      </c>
      <c r="H42" s="19"/>
      <c r="I42" s="18">
        <f>C42*D42</f>
      </c>
      <c r="J42" s="20" t="s">
        <v>16</v>
      </c>
      <c r="K42" s="14">
        <v>3</v>
      </c>
      <c r="L42" s="5"/>
      <c r="M42" s="1"/>
      <c r="N42" s="1"/>
    </row>
    <row x14ac:dyDescent="0.25" r="43" customHeight="1" ht="19.5">
      <c r="A43" s="1"/>
      <c r="B43" s="16" t="s">
        <v>84</v>
      </c>
      <c r="C43" s="17">
        <v>50</v>
      </c>
      <c r="D43" s="18">
        <v>85</v>
      </c>
      <c r="E43" s="18">
        <v>155</v>
      </c>
      <c r="F43" s="18">
        <f>C43*E43</f>
      </c>
      <c r="G43" s="18">
        <f>(E43-D43)*C43</f>
      </c>
      <c r="H43" s="19"/>
      <c r="I43" s="18">
        <f>C43*D43</f>
      </c>
      <c r="J43" s="20" t="s">
        <v>80</v>
      </c>
      <c r="K43" s="14">
        <v>2</v>
      </c>
      <c r="L43" s="21" t="s">
        <v>81</v>
      </c>
      <c r="M43" s="1"/>
      <c r="N43" s="1"/>
    </row>
    <row x14ac:dyDescent="0.25" r="44" customHeight="1" ht="20.25">
      <c r="A44" s="1"/>
      <c r="B44" s="16" t="s">
        <v>85</v>
      </c>
      <c r="C44" s="17">
        <v>10</v>
      </c>
      <c r="D44" s="18">
        <v>43.44</v>
      </c>
      <c r="E44" s="18">
        <v>78</v>
      </c>
      <c r="F44" s="18">
        <f>C44*E44</f>
      </c>
      <c r="G44" s="18">
        <f>(E44-D44)*C44</f>
      </c>
      <c r="H44" s="19"/>
      <c r="I44" s="18">
        <f>C44*D44</f>
      </c>
      <c r="J44" s="20" t="s">
        <v>47</v>
      </c>
      <c r="K44" s="14">
        <v>2</v>
      </c>
      <c r="L44" s="21" t="s">
        <v>81</v>
      </c>
      <c r="M44" s="1"/>
      <c r="N44" s="1"/>
    </row>
    <row x14ac:dyDescent="0.25" r="45" customHeight="1" ht="18.75">
      <c r="A45" s="1" t="s">
        <v>77</v>
      </c>
      <c r="B45" s="12" t="s">
        <v>86</v>
      </c>
      <c r="C45" s="13" t="s">
        <v>13</v>
      </c>
      <c r="D45" s="14"/>
      <c r="E45" s="15" t="s">
        <v>13</v>
      </c>
      <c r="F45" s="14">
        <f>SUM(F46:F49)</f>
      </c>
      <c r="G45" s="14">
        <f>SUM(G46:G49)</f>
      </c>
      <c r="H45" s="6" t="s">
        <v>23</v>
      </c>
      <c r="I45" s="14">
        <f>SUM(I46:I49)</f>
      </c>
      <c r="J45" s="5"/>
      <c r="K45" s="5"/>
      <c r="L45" s="5"/>
      <c r="M45" s="1"/>
      <c r="N45" s="1"/>
    </row>
    <row x14ac:dyDescent="0.25" r="46" customHeight="1" ht="19.5">
      <c r="A46" s="1"/>
      <c r="B46" s="16" t="s">
        <v>87</v>
      </c>
      <c r="C46" s="17">
        <v>2</v>
      </c>
      <c r="D46" s="18">
        <v>4374</v>
      </c>
      <c r="E46" s="18">
        <v>4900</v>
      </c>
      <c r="F46" s="18">
        <f>C46*E46</f>
      </c>
      <c r="G46" s="18">
        <f>(E46-D46)*C46</f>
      </c>
      <c r="H46" s="19"/>
      <c r="I46" s="18">
        <f>C46*D46</f>
      </c>
      <c r="J46" s="20" t="s">
        <v>16</v>
      </c>
      <c r="K46" s="14">
        <v>5</v>
      </c>
      <c r="L46" s="5"/>
      <c r="M46" s="1"/>
      <c r="N46" s="1"/>
    </row>
    <row x14ac:dyDescent="0.25" r="47" customHeight="1" ht="19.5">
      <c r="A47" s="1"/>
      <c r="B47" s="16" t="s">
        <v>88</v>
      </c>
      <c r="C47" s="17">
        <v>500</v>
      </c>
      <c r="D47" s="18">
        <v>4.44</v>
      </c>
      <c r="E47" s="18">
        <v>5.2</v>
      </c>
      <c r="F47" s="18">
        <f>C47*E47</f>
      </c>
      <c r="G47" s="18">
        <f>(E47-D47)*C47</f>
      </c>
      <c r="H47" s="19"/>
      <c r="I47" s="18">
        <f>C47*D47</f>
      </c>
      <c r="J47" s="20" t="s">
        <v>89</v>
      </c>
      <c r="K47" s="14">
        <v>3</v>
      </c>
      <c r="L47" s="5"/>
      <c r="M47" s="1"/>
      <c r="N47" s="1"/>
    </row>
    <row x14ac:dyDescent="0.25" r="48" customHeight="1" ht="19.5">
      <c r="A48" s="1"/>
      <c r="B48" s="16" t="s">
        <v>90</v>
      </c>
      <c r="C48" s="17">
        <v>1000</v>
      </c>
      <c r="D48" s="18">
        <v>1.42</v>
      </c>
      <c r="E48" s="18">
        <v>1.8</v>
      </c>
      <c r="F48" s="18">
        <f>C48*E48</f>
      </c>
      <c r="G48" s="18">
        <f>(E48-D48)*C48</f>
      </c>
      <c r="H48" s="19"/>
      <c r="I48" s="18">
        <f>C48*D48</f>
      </c>
      <c r="J48" s="20" t="s">
        <v>91</v>
      </c>
      <c r="K48" s="14">
        <v>5</v>
      </c>
      <c r="L48" s="5"/>
      <c r="M48" s="1"/>
      <c r="N48" s="1"/>
    </row>
    <row x14ac:dyDescent="0.25" r="49" customHeight="1" ht="20.25">
      <c r="A49" s="1"/>
      <c r="B49" s="16" t="s">
        <v>92</v>
      </c>
      <c r="C49" s="17">
        <v>500</v>
      </c>
      <c r="D49" s="18">
        <v>3.7</v>
      </c>
      <c r="E49" s="18">
        <v>4.4</v>
      </c>
      <c r="F49" s="18">
        <f>C49*E49</f>
      </c>
      <c r="G49" s="18">
        <f>(E49-D49)*C49</f>
      </c>
      <c r="H49" s="19"/>
      <c r="I49" s="18">
        <f>C49*D49</f>
      </c>
      <c r="J49" s="20" t="s">
        <v>89</v>
      </c>
      <c r="K49" s="14">
        <v>3</v>
      </c>
      <c r="L49" s="5"/>
      <c r="M49" s="1"/>
      <c r="N49" s="1"/>
    </row>
    <row x14ac:dyDescent="0.25" r="50" customHeight="1" ht="18.75">
      <c r="A50" s="1" t="s">
        <v>93</v>
      </c>
      <c r="B50" s="12" t="s">
        <v>94</v>
      </c>
      <c r="C50" s="36">
        <v>45807</v>
      </c>
      <c r="D50" s="14"/>
      <c r="E50" s="15" t="s">
        <v>95</v>
      </c>
      <c r="F50" s="14">
        <f>SUM(F51:F52)</f>
      </c>
      <c r="G50" s="14">
        <f>SUM(G51:G52)</f>
      </c>
      <c r="H50" s="6" t="s">
        <v>23</v>
      </c>
      <c r="I50" s="14">
        <f>SUM(I51:I52)</f>
      </c>
      <c r="J50" s="5"/>
      <c r="K50" s="5"/>
      <c r="L50" s="5"/>
      <c r="M50" s="1"/>
      <c r="N50" s="1"/>
    </row>
    <row x14ac:dyDescent="0.25" r="51" customHeight="1" ht="18.75">
      <c r="A51" s="1"/>
      <c r="B51" s="16" t="s">
        <v>96</v>
      </c>
      <c r="C51" s="17">
        <v>50</v>
      </c>
      <c r="D51" s="18">
        <v>33</v>
      </c>
      <c r="E51" s="18">
        <v>41</v>
      </c>
      <c r="F51" s="18">
        <f>C51*E51</f>
      </c>
      <c r="G51" s="18">
        <f>(E51-D51)*C51</f>
      </c>
      <c r="H51" s="19"/>
      <c r="I51" s="18">
        <f>C51*D51</f>
      </c>
      <c r="J51" s="20" t="s">
        <v>97</v>
      </c>
      <c r="K51" s="14">
        <v>3</v>
      </c>
      <c r="L51" s="5"/>
      <c r="M51" s="1"/>
      <c r="N51" s="1"/>
    </row>
    <row x14ac:dyDescent="0.25" r="52" customHeight="1" ht="19.5">
      <c r="A52" s="1"/>
      <c r="B52" s="16" t="s">
        <v>98</v>
      </c>
      <c r="C52" s="17">
        <v>2</v>
      </c>
      <c r="D52" s="18">
        <v>305</v>
      </c>
      <c r="E52" s="18">
        <v>420</v>
      </c>
      <c r="F52" s="18">
        <f>C52*E52</f>
      </c>
      <c r="G52" s="18">
        <f>(E52-D52)*C52</f>
      </c>
      <c r="H52" s="19"/>
      <c r="I52" s="18">
        <f>C52*D52</f>
      </c>
      <c r="J52" s="20" t="s">
        <v>99</v>
      </c>
      <c r="K52" s="14">
        <v>3</v>
      </c>
      <c r="L52" s="5"/>
      <c r="M52" s="1"/>
      <c r="N52" s="1"/>
    </row>
    <row x14ac:dyDescent="0.25" r="53" customHeight="1" ht="18.75">
      <c r="A53" s="1" t="s">
        <v>93</v>
      </c>
      <c r="B53" s="12" t="s">
        <v>100</v>
      </c>
      <c r="C53" s="36">
        <v>45807</v>
      </c>
      <c r="D53" s="14"/>
      <c r="E53" s="15" t="s">
        <v>95</v>
      </c>
      <c r="F53" s="14">
        <f>SUM(F54:F61)</f>
      </c>
      <c r="G53" s="14">
        <f>SUM(G54:G61)</f>
      </c>
      <c r="H53" s="6" t="s">
        <v>23</v>
      </c>
      <c r="I53" s="14">
        <f>SUM(I54:I61)</f>
      </c>
      <c r="J53" s="5"/>
      <c r="K53" s="5"/>
      <c r="L53" s="5"/>
      <c r="M53" s="1"/>
      <c r="N53" s="1"/>
    </row>
    <row x14ac:dyDescent="0.25" r="54" customHeight="1" ht="18.75">
      <c r="A54" s="1"/>
      <c r="B54" s="16" t="s">
        <v>101</v>
      </c>
      <c r="C54" s="17">
        <v>4</v>
      </c>
      <c r="D54" s="18">
        <v>81.25</v>
      </c>
      <c r="E54" s="18">
        <v>129</v>
      </c>
      <c r="F54" s="18">
        <f>C54*E54</f>
      </c>
      <c r="G54" s="18">
        <f>(E54-D54)*C54</f>
      </c>
      <c r="H54" s="19"/>
      <c r="I54" s="18">
        <f>C54*D54</f>
      </c>
      <c r="J54" s="20" t="s">
        <v>54</v>
      </c>
      <c r="K54" s="14">
        <v>3</v>
      </c>
      <c r="L54" s="5"/>
      <c r="M54" s="1"/>
      <c r="N54" s="1"/>
    </row>
    <row x14ac:dyDescent="0.25" r="55" customHeight="1" ht="18.75">
      <c r="A55" s="1"/>
      <c r="B55" s="16" t="s">
        <v>102</v>
      </c>
      <c r="C55" s="17">
        <v>20</v>
      </c>
      <c r="D55" s="18">
        <v>164.64</v>
      </c>
      <c r="E55" s="18">
        <v>198</v>
      </c>
      <c r="F55" s="18">
        <f>C55*E55</f>
      </c>
      <c r="G55" s="18">
        <f>(E55-D55)*C55</f>
      </c>
      <c r="H55" s="19"/>
      <c r="I55" s="18">
        <f>C55*D55</f>
      </c>
      <c r="J55" s="20" t="s">
        <v>103</v>
      </c>
      <c r="K55" s="14">
        <v>3</v>
      </c>
      <c r="L55" s="5"/>
      <c r="M55" s="1"/>
      <c r="N55" s="1"/>
    </row>
    <row x14ac:dyDescent="0.25" r="56" customHeight="1" ht="18.75">
      <c r="A56" s="1"/>
      <c r="B56" s="16" t="s">
        <v>72</v>
      </c>
      <c r="C56" s="17">
        <v>100</v>
      </c>
      <c r="D56" s="18">
        <v>16.5</v>
      </c>
      <c r="E56" s="18">
        <v>18.5</v>
      </c>
      <c r="F56" s="18">
        <f>C56*E56</f>
      </c>
      <c r="G56" s="18">
        <f>(E56-D56)*C56</f>
      </c>
      <c r="H56" s="19"/>
      <c r="I56" s="18">
        <f>C56*D56</f>
      </c>
      <c r="J56" s="20" t="s">
        <v>73</v>
      </c>
      <c r="K56" s="14">
        <v>3</v>
      </c>
      <c r="L56" s="5"/>
      <c r="M56" s="1"/>
      <c r="N56" s="1"/>
    </row>
    <row x14ac:dyDescent="0.25" r="57" customHeight="1" ht="18.75">
      <c r="A57" s="1"/>
      <c r="B57" s="16" t="s">
        <v>104</v>
      </c>
      <c r="C57" s="17">
        <v>100</v>
      </c>
      <c r="D57" s="18">
        <v>9.2</v>
      </c>
      <c r="E57" s="18">
        <v>11</v>
      </c>
      <c r="F57" s="18">
        <f>C57*E57</f>
      </c>
      <c r="G57" s="18">
        <f>(E57-D57)*C57</f>
      </c>
      <c r="H57" s="19"/>
      <c r="I57" s="18">
        <f>C57*D57</f>
      </c>
      <c r="J57" s="20" t="s">
        <v>105</v>
      </c>
      <c r="K57" s="14">
        <v>2</v>
      </c>
      <c r="L57" s="5"/>
      <c r="M57" s="1"/>
      <c r="N57" s="1"/>
    </row>
    <row x14ac:dyDescent="0.25" r="58" customHeight="1" ht="18.75">
      <c r="A58" s="1"/>
      <c r="B58" s="16" t="s">
        <v>106</v>
      </c>
      <c r="C58" s="17">
        <v>20</v>
      </c>
      <c r="D58" s="18">
        <v>26.76</v>
      </c>
      <c r="E58" s="18">
        <v>36</v>
      </c>
      <c r="F58" s="18">
        <f>C58*E58</f>
      </c>
      <c r="G58" s="18">
        <f>(E58-D58)*C58</f>
      </c>
      <c r="H58" s="19"/>
      <c r="I58" s="18">
        <f>C58*D58</f>
      </c>
      <c r="J58" s="20" t="s">
        <v>107</v>
      </c>
      <c r="K58" s="14">
        <v>3</v>
      </c>
      <c r="L58" s="5"/>
      <c r="M58" s="1"/>
      <c r="N58" s="1"/>
    </row>
    <row x14ac:dyDescent="0.25" r="59" customHeight="1" ht="18.75">
      <c r="A59" s="1"/>
      <c r="B59" s="16" t="s">
        <v>108</v>
      </c>
      <c r="C59" s="17">
        <v>5</v>
      </c>
      <c r="D59" s="18">
        <f>13529.55/5</f>
      </c>
      <c r="E59" s="18">
        <v>4713</v>
      </c>
      <c r="F59" s="18">
        <f>C59*E59</f>
      </c>
      <c r="G59" s="18">
        <f>(E59-D59)*C59</f>
      </c>
      <c r="H59" s="19"/>
      <c r="I59" s="18">
        <f>C59*D59</f>
      </c>
      <c r="J59" s="20" t="s">
        <v>109</v>
      </c>
      <c r="K59" s="14">
        <v>5</v>
      </c>
      <c r="L59" s="5"/>
      <c r="M59" s="1"/>
      <c r="N59" s="1"/>
    </row>
    <row x14ac:dyDescent="0.25" r="60" customHeight="1" ht="18.75">
      <c r="A60" s="1"/>
      <c r="B60" s="16" t="s">
        <v>110</v>
      </c>
      <c r="C60" s="17">
        <v>20</v>
      </c>
      <c r="D60" s="18">
        <v>36.6</v>
      </c>
      <c r="E60" s="18">
        <v>45</v>
      </c>
      <c r="F60" s="18">
        <f>C60*E60</f>
      </c>
      <c r="G60" s="18">
        <f>(E60-D60)*C60</f>
      </c>
      <c r="H60" s="19"/>
      <c r="I60" s="18">
        <f>C60*D60</f>
      </c>
      <c r="J60" s="20" t="s">
        <v>16</v>
      </c>
      <c r="K60" s="14">
        <v>3</v>
      </c>
      <c r="L60" s="5"/>
      <c r="M60" s="1"/>
      <c r="N60" s="1"/>
    </row>
    <row x14ac:dyDescent="0.25" r="61" customHeight="1" ht="18.75">
      <c r="A61" s="1"/>
      <c r="B61" s="16" t="s">
        <v>111</v>
      </c>
      <c r="C61" s="17">
        <v>2000</v>
      </c>
      <c r="D61" s="18">
        <f>2699/2000</f>
      </c>
      <c r="E61" s="18">
        <v>1.6</v>
      </c>
      <c r="F61" s="18">
        <f>C61*E61</f>
      </c>
      <c r="G61" s="18">
        <f>(E61-D61)*C61</f>
      </c>
      <c r="H61" s="19"/>
      <c r="I61" s="18">
        <f>C61*D61</f>
      </c>
      <c r="J61" s="20" t="s">
        <v>112</v>
      </c>
      <c r="K61" s="14">
        <v>5</v>
      </c>
      <c r="L61" s="5"/>
      <c r="M61" s="1"/>
      <c r="N61" s="1"/>
    </row>
    <row x14ac:dyDescent="0.25" r="62" customHeight="1" ht="19.5">
      <c r="A62" s="1"/>
      <c r="B62" s="16" t="s">
        <v>113</v>
      </c>
      <c r="C62" s="17">
        <v>200</v>
      </c>
      <c r="D62" s="18"/>
      <c r="E62" s="18">
        <v>12.6</v>
      </c>
      <c r="F62" s="18">
        <f>C62*E62</f>
      </c>
      <c r="G62" s="18">
        <f>(E62-D62)*C62</f>
      </c>
      <c r="H62" s="19"/>
      <c r="I62" s="18">
        <f>C62*D62</f>
      </c>
      <c r="J62" s="18"/>
      <c r="K62" s="5"/>
      <c r="L62" s="5"/>
      <c r="M62" s="1"/>
      <c r="N62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Май 2025 </vt:lpstr>
      <vt:lpstr>Июнь 2025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2025-07-01T22:49:31.858Z</dcterms:created>
  <dcterms:modified xsi:type="dcterms:W3CDTF">2025-07-01T22:49:31.858Z</dcterms:modified>
</cp:coreProperties>
</file>